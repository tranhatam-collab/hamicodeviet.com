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bb2ffc4a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72bd565937d4ab0"/>
    <x:sheet xmlns:r="http://schemas.openxmlformats.org/officeDocument/2006/relationships" name="Phases" sheetId="2" r:id="Rfe7f63680acc48f8"/>
    <x:sheet xmlns:r="http://schemas.openxmlformats.org/officeDocument/2006/relationships" name="Workstreams" sheetId="3" r:id="R9135c968da394d16"/>
    <x:sheet xmlns:r="http://schemas.openxmlformats.org/officeDocument/2006/relationships" name="Release_Gates" sheetId="4" r:id="R9362c47438e84636"/>
    <x:sheet xmlns:r="http://schemas.openxmlformats.org/officeDocument/2006/relationships" name="Risks" sheetId="5" r:id="R9b74425bdd9247ae"/>
    <x:sheet xmlns:r="http://schemas.openxmlformats.org/officeDocument/2006/relationships" name="Content_Backlog" sheetId="6" r:id="Ra8ca1b8c24474a8a"/>
    <x:sheet xmlns:r="http://schemas.openxmlformats.org/officeDocument/2006/relationships" name="Financial_Model" sheetId="7" r:id="R4e94bfcffb914a58"/>
    <x:sheet xmlns:r="http://schemas.openxmlformats.org/officeDocument/2006/relationships" name="RACI" sheetId="8" r:id="Rd2e88c68470b48ca"/>
    <x:sheet xmlns:r="http://schemas.openxmlformats.org/officeDocument/2006/relationships" name="Sources" sheetId="9" r:id="R6ec79f66bc20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&quot; đ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A43"/>
      <x:name val="Carlito"/>
    </x:font>
    <x:font>
      <x:b/>
      <x:sz val="11"/>
      <x:color rgb="FFFFFFFF"/>
      <x:name val="Carlito"/>
    </x:font>
    <x:font>
      <x:b/>
      <x:sz val="13"/>
      <x:color rgb="FF20A77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6F9"/>
      </x:patternFill>
    </x:fill>
    <x:fill>
      <x:patternFill patternType="solid">
        <x:fgColor rgb="FF00A8CC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30d972347473f" /><Relationship Type="http://schemas.openxmlformats.org/officeDocument/2006/relationships/theme" Target="/xl/theme/theme1.xml" Id="Rab4c1d0ba05e4c93" /><Relationship Type="http://schemas.openxmlformats.org/officeDocument/2006/relationships/sharedStrings" Target="/xl/sharedStrings.xml" Id="R14f1398b742f41c7" /><Relationship Type="http://schemas.openxmlformats.org/officeDocument/2006/relationships/worksheet" Target="/xl/worksheets/sheet1.xml" Id="Ra72bd565937d4ab0" /><Relationship Type="http://schemas.openxmlformats.org/officeDocument/2006/relationships/worksheet" Target="/xl/worksheets/sheet2.xml" Id="Rfe7f63680acc48f8" /><Relationship Type="http://schemas.openxmlformats.org/officeDocument/2006/relationships/worksheet" Target="/xl/worksheets/sheet3.xml" Id="R9135c968da394d16" /><Relationship Type="http://schemas.openxmlformats.org/officeDocument/2006/relationships/worksheet" Target="/xl/worksheets/sheet4.xml" Id="R9362c47438e84636" /><Relationship Type="http://schemas.openxmlformats.org/officeDocument/2006/relationships/worksheet" Target="/xl/worksheets/sheet5.xml" Id="R9b74425bdd9247ae" /><Relationship Type="http://schemas.openxmlformats.org/officeDocument/2006/relationships/worksheet" Target="/xl/worksheets/sheet6.xml" Id="Ra8ca1b8c24474a8a" /><Relationship Type="http://schemas.openxmlformats.org/officeDocument/2006/relationships/worksheet" Target="/xl/worksheets/sheet7.xml" Id="R4e94bfcffb914a58" /><Relationship Type="http://schemas.openxmlformats.org/officeDocument/2006/relationships/worksheet" Target="/xl/worksheets/sheet8.xml" Id="Rd2e88c68470b48ca" /><Relationship Type="http://schemas.openxmlformats.org/officeDocument/2006/relationships/worksheet" Target="/xl/worksheets/sheet9.xml" Id="R6ec79f66bc204faa" /></Relationships>
</file>

<file path=xl/tables/table1.xml><?xml version="1.0" encoding="utf-8"?>
<x:table xmlns:x="http://schemas.openxmlformats.org/spreadsheetml/2006/main" id="1" name="PhasesTable" displayName="PhasesTable" ref="A1:H9" headerRowCount="1">
  <x:tableColumns count="8">
    <x:tableColumn id="1" name="Phase"/>
    <x:tableColumn id="2" name="Thời gian"/>
    <x:tableColumn id="3" name="Mục tiêu"/>
    <x:tableColumn id="4" name="Deliverables chính"/>
    <x:tableColumn id="5" name="Exit Gate"/>
    <x:tableColumn id="6" name="Owner"/>
    <x:tableColumn id="7" name="Status"/>
    <x:tableColumn id="8" name="% Hoàn thành"/>
  </x:tableColumns>
  <x:tableStyleInfo name="TableStyleMedium2" showRowStripes="1"/>
</x:table>
</file>

<file path=xl/tables/table2.xml><?xml version="1.0" encoding="utf-8"?>
<x:table xmlns:x="http://schemas.openxmlformats.org/spreadsheetml/2006/main" id="2" name="WorkstreamsTable" displayName="WorkstreamsTable" ref="A1:J26" headerRowCount="1">
  <x:tableColumns count="10">
    <x:tableColumn id="1" name="ID"/>
    <x:tableColumn id="2" name="Phase"/>
    <x:tableColumn id="3" name="Workstream"/>
    <x:tableColumn id="4" name="Task/Deliverable"/>
    <x:tableColumn id="5" name="Owner"/>
    <x:tableColumn id="6" name="Priority"/>
    <x:tableColumn id="7" name="Dependency"/>
    <x:tableColumn id="8" name="Status"/>
    <x:tableColumn id="9" name="Evidence"/>
    <x:tableColumn id="10" name="Due/Window"/>
  </x:tableColumns>
  <x:tableStyleInfo name="TableStyleMedium2" showRowStripes="1"/>
</x:table>
</file>

<file path=xl/tables/table3.xml><?xml version="1.0" encoding="utf-8"?>
<x:table xmlns:x="http://schemas.openxmlformats.org/spreadsheetml/2006/main" id="3" name="ReleaseGatesTable" displayName="ReleaseGatesTable" ref="A1:H11" headerRowCount="1">
  <x:tableColumns count="8">
    <x:tableColumn id="1" name="Gate ID"/>
    <x:tableColumn id="2" name="Gate"/>
    <x:tableColumn id="3" name="Acceptance Criteria"/>
    <x:tableColumn id="4" name="Priority"/>
    <x:tableColumn id="5" name="Status"/>
    <x:tableColumn id="6" name="Owner"/>
    <x:tableColumn id="7" name="Evidence Link/Ref"/>
    <x:tableColumn id="8" name="Blocker Notes"/>
  </x:tableColumns>
  <x:tableStyleInfo name="TableStyleMedium2" showRowStripes="1"/>
</x:table>
</file>

<file path=xl/tables/table4.xml><?xml version="1.0" encoding="utf-8"?>
<x:table xmlns:x="http://schemas.openxmlformats.org/spreadsheetml/2006/main" id="4" name="RisksTable" displayName="RisksTable" ref="A1:I9" headerRowCount="1">
  <x:tableColumns count="9">
    <x:tableColumn id="1" name="Risk ID"/>
    <x:tableColumn id="2" name="Category"/>
    <x:tableColumn id="3" name="Risk"/>
    <x:tableColumn id="4" name="Likelihood"/>
    <x:tableColumn id="5" name="Impact"/>
    <x:tableColumn id="6" name="Score"/>
    <x:tableColumn id="7" name="Mitigation"/>
    <x:tableColumn id="8" name="Owner"/>
    <x:tableColumn id="9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ContentBacklogTable" displayName="ContentBacklogTable" ref="A1:J41" headerRowCount="1">
  <x:tableColumns count="10">
    <x:tableColumn id="1" name="ID"/>
    <x:tableColumn id="2" name="Age Band"/>
    <x:tableColumn id="3" name="Type"/>
    <x:tableColumn id="4" name="Title/Theme"/>
    <x:tableColumn id="5" name="Locale"/>
    <x:tableColumn id="6" name="Technical QA"/>
    <x:tableColumn id="7" name="Language QA"/>
    <x:tableColumn id="8" name="Safety QA"/>
    <x:tableColumn id="9" name="Human Approval"/>
    <x:tableColumn id="10" name="Publish Status"/>
  </x:tableColumns>
  <x:tableStyleInfo name="TableStyleMedium2" showRowStripes="1"/>
</x:table>
</file>

<file path=xl/tables/table6.xml><?xml version="1.0" encoding="utf-8"?>
<x:table xmlns:x="http://schemas.openxmlformats.org/spreadsheetml/2006/main" id="6" name="RACITable" displayName="RACITable" ref="A1:E11" headerRowCount="1">
  <x:tableColumns count="5">
    <x:tableColumn id="1" name="Workstream"/>
    <x:tableColumn id="2" name="Accountable"/>
    <x:tableColumn id="3" name="Responsible"/>
    <x:tableColumn id="4" name="Consulted"/>
    <x:tableColumn id="5" name="Informed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1:D8" headerRowCount="1">
  <x:tableColumns count="4">
    <x:tableColumn id="1" name="No."/>
    <x:tableColumn id="2" name="Source"/>
    <x:tableColumn id="3" name="Use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c840f0771b4f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c1e336a4ae45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b8141ca3694c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90ba647c6047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79cfa8132e4c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4a50fc5a2b949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cb2f9f213a74bb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48" t="str">
        <x:v>HAMI CODE VIỆT - EXECUTION CONTROL BOARD</x:v>
      </x:c>
      <x:c r="B1" s="48"/>
      <x:c r="C1" s="48"/>
      <x:c r="D1" s="48"/>
      <x:c r="E1" s="48"/>
      <x:c r="F1" s="48"/>
      <x:c r="G1" s="48"/>
      <x:c r="H1" s="48"/>
    </x:row>
    <x:row r="2" ht="28" customHeight="1">
      <x:c r="A2" s="48"/>
      <x:c r="B2" s="48"/>
      <x:c r="C2" s="48"/>
      <x:c r="D2" s="48"/>
      <x:c r="E2" s="48"/>
      <x:c r="F2" s="48"/>
      <x:c r="G2" s="48"/>
      <x:c r="H2" s="48"/>
    </x:row>
    <x:row r="3">
      <x:c r="A3" s="49" t="str">
        <x:v>hamicodeviet.com | Strategy → Build → QA → Go-Live → Handoff</x:v>
      </x:c>
      <x:c r="B3" s="49"/>
      <x:c r="C3" s="49"/>
      <x:c r="D3" s="49"/>
      <x:c r="E3" s="49"/>
      <x:c r="F3" s="49"/>
      <x:c r="G3" s="49"/>
      <x:c r="H3" s="49"/>
    </x:row>
    <x:row r="4">
      <x:c r="A4" s="26"/>
      <x:c r="B4" s="26"/>
      <x:c r="C4" s="26"/>
      <x:c r="D4" s="26"/>
      <x:c r="E4" s="26"/>
      <x:c r="F4" s="26"/>
      <x:c r="G4" s="26"/>
      <x:c r="H4" s="26"/>
    </x:row>
    <x:row r="5">
      <x:c r="A5" s="19" t="str">
        <x:v>KPI</x:v>
      </x:c>
      <x:c r="B5" s="19" t="str">
        <x:v>Giá trị</x:v>
      </x:c>
      <x:c r="C5" s="26"/>
      <x:c r="D5" s="19" t="str">
        <x:v>Release Verdict</x:v>
      </x:c>
      <x:c r="E5" s="19" t="str">
        <x:v>Core</x:v>
      </x:c>
      <x:c r="F5" s="19" t="str">
        <x:v>AI</x:v>
      </x:c>
      <x:c r="G5" s="19" t="str">
        <x:v>CodeLab</x:v>
      </x:c>
      <x:c r="H5" s="19" t="str">
        <x:v>Marketplace</x:v>
      </x:c>
    </x:row>
    <x:row r="6">
      <x:c r="A6" s="50" t="str">
        <x:v>Tổng workstreams</x:v>
      </x:c>
      <x:c r="B6" s="27" t="n">
        <x:f>COUNTA(Workstreams!A2:A200)</x:f>
        <x:v>25</x:v>
      </x:c>
      <x:c r="C6" s="26"/>
      <x:c r="D6" s="27" t="str">
        <x:v>HOLD - NOT READY FOR GO-LIVE</x:v>
      </x:c>
      <x:c r="E6" s="27" t="str">
        <x:v>Not Verified</x:v>
      </x:c>
      <x:c r="F6" s="27" t="str">
        <x:v>Feature Flag</x:v>
      </x:c>
      <x:c r="G6" s="27" t="str">
        <x:v>Feature Flag</x:v>
      </x:c>
      <x:c r="H6" s="27" t="str">
        <x:v>Disabled/Pilot</x:v>
      </x:c>
    </x:row>
    <x:row r="7">
      <x:c r="A7" s="50" t="str">
        <x:v>Đã hoàn thành</x:v>
      </x:c>
      <x:c r="B7" s="27" t="n">
        <x:f>COUNTIF(Workstreams!H2:H200,"Done")</x:f>
        <x:v>0</x:v>
      </x:c>
      <x:c r="C7" s="26"/>
      <x:c r="D7" s="26"/>
      <x:c r="E7" s="26"/>
      <x:c r="F7" s="26"/>
      <x:c r="G7" s="26"/>
      <x:c r="H7" s="26"/>
    </x:row>
    <x:row r="8">
      <x:c r="A8" s="50" t="str">
        <x:v>Đang thực hiện</x:v>
      </x:c>
      <x:c r="B8" s="27" t="n">
        <x:f>COUNTIF(Workstreams!H2:H200,"In Progress")</x:f>
        <x:v>0</x:v>
      </x:c>
      <x:c r="C8" s="26"/>
      <x:c r="D8" s="51" t="str">
        <x:v>North Star Metric</x:v>
      </x:c>
      <x:c r="E8" s="51" t="str"/>
      <x:c r="F8" s="51" t="str"/>
      <x:c r="G8" s="51" t="str"/>
      <x:c r="H8" s="51" t="str"/>
    </x:row>
    <x:row r="9">
      <x:c r="A9" s="50" t="str">
        <x:v>Bị chặn</x:v>
      </x:c>
      <x:c r="B9" s="27" t="n">
        <x:f>COUNTIF(Workstreams!H2:H200,"Blocked")</x:f>
        <x:v>0</x:v>
      </x:c>
      <x:c r="C9" s="26"/>
      <x:c r="D9" s="42" t="str">
        <x:v>Số sản phẩm đạt chuẩn được hoàn thành trên mỗi người học hoạt động</x:v>
      </x:c>
      <x:c r="E9" s="42"/>
      <x:c r="F9" s="42"/>
      <x:c r="G9" s="42"/>
      <x:c r="H9" s="42"/>
    </x:row>
    <x:row r="10">
      <x:c r="A10" s="50" t="str">
        <x:v>P0/P1 chưa đóng</x:v>
      </x:c>
      <x:c r="B10" s="27" t="n">
        <x:f>COUNTIFS(Workstreams!F2:F200,"P0",Workstreams!H2:H200,"&lt;&gt;Done")+COUNTIFS(Workstreams!F2:F200,"P1",Workstreams!H2:H200,"&lt;&gt;Done")</x:f>
        <x:v>25</x:v>
      </x:c>
      <x:c r="C10" s="26"/>
      <x:c r="D10" s="42"/>
      <x:c r="E10" s="42"/>
      <x:c r="F10" s="42"/>
      <x:c r="G10" s="42"/>
      <x:c r="H10" s="42"/>
    </x:row>
    <x:row r="11">
      <x:c r="A11" s="50" t="str">
        <x:v>Release gates PASS</x:v>
      </x:c>
      <x:c r="B11" s="27" t="n">
        <x:f>COUNTIF(Release_Gates!E2:E30,"PASS")</x:f>
        <x:v>0</x:v>
      </x:c>
      <x:c r="C11" s="26"/>
      <x:c r="D11" s="26"/>
      <x:c r="E11" s="26"/>
      <x:c r="F11" s="26"/>
      <x:c r="G11" s="26"/>
      <x:c r="H11" s="26"/>
    </x:row>
    <x:row r="12">
      <x:c r="A12" s="50" t="str">
        <x:v>Release gates còn lại</x:v>
      </x:c>
      <x:c r="B12" s="27" t="n">
        <x:f>COUNTA(Release_Gates!A2:A30)-COUNTIF(Release_Gates!E2:E30,"PASS")</x:f>
        <x:v>10</x:v>
      </x:c>
      <x:c r="C12" s="26"/>
      <x:c r="D12" s="26"/>
      <x:c r="E12" s="26"/>
      <x:c r="F12" s="26"/>
      <x:c r="G12" s="26"/>
      <x:c r="H12" s="26"/>
    </x:row>
    <x:row r="13">
      <x:c r="A13" s="26"/>
      <x:c r="B13" s="26"/>
      <x:c r="C13" s="26"/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51" t="str">
        <x:v>Ghi chú điều hành</x:v>
      </x:c>
      <x:c r="B15" s="51" t="str"/>
      <x:c r="C15" s="51" t="str"/>
      <x:c r="D15" s="51" t="str"/>
      <x:c r="E15" s="51" t="str"/>
      <x:c r="F15" s="51" t="str"/>
      <x:c r="G15" s="51" t="str"/>
      <x:c r="H15" s="51" t="str"/>
    </x:row>
    <x:row r="16">
      <x:c r="A16" s="27" t="str">
        <x:v>Chỉ chuyển trạng thái dự án sang PASS - GO-LIVE VERIFIED khi toàn bộ gate bắt buộc có bằng chứng production: commit SHA, deployment ID, URL, live E2E, security, child safety, privacy, backup/restore và rollback.</x:v>
      </x:c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6"/>
      <x:c r="B20" s="26"/>
      <x:c r="C20" s="26"/>
      <x:c r="D20" s="26"/>
      <x:c r="E20" s="26"/>
      <x:c r="F20" s="26"/>
      <x:c r="G20" s="26"/>
      <x:c r="H20" s="26"/>
    </x:row>
  </x:sheetData>
  <x:mergeCells>
    <x:mergeCell ref="A1:H2"/>
    <x:mergeCell ref="A3:H3"/>
    <x:mergeCell ref="D8:H8"/>
    <x:mergeCell ref="D9:H10"/>
    <x:mergeCell ref="A15:H15"/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32" hidden="0" customWidth="1"/>
    <x:col min="4" max="4" width="32" hidden="0" customWidth="1"/>
    <x:col min="5" max="5" width="32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9" t="str">
        <x:v>Phase</x:v>
      </x:c>
      <x:c r="B1" s="19" t="str">
        <x:v>Thời gian</x:v>
      </x:c>
      <x:c r="C1" s="19" t="str">
        <x:v>Mục tiêu</x:v>
      </x:c>
      <x:c r="D1" s="19" t="str">
        <x:v>Deliverables chính</x:v>
      </x:c>
      <x:c r="E1" s="19" t="str">
        <x:v>Exit Gate</x:v>
      </x:c>
      <x:c r="F1" s="19" t="str">
        <x:v>Owner</x:v>
      </x:c>
      <x:c r="G1" s="19" t="str">
        <x:v>Status</x:v>
      </x:c>
      <x:c r="H1" s="19" t="str">
        <x:v>% Hoàn thành</x:v>
      </x:c>
    </x:row>
    <x:row r="2">
      <x:c r="A2" s="27" t="str">
        <x:v>P0 - Foundation</x:v>
      </x:c>
      <x:c r="B2" s="27" t="str">
        <x:v>0-30 ngày</x:v>
      </x:c>
      <x:c r="C2" s="27" t="str">
        <x:v>Audit và nền tảng tin cậy</x:v>
      </x:c>
      <x:c r="D2" s="27" t="str">
        <x:v>Founder Lock; architecture; DNS/SSL; CI/CD; auth foundation; privacy/AI/child safety; monitoring</x:v>
      </x:c>
      <x:c r="E2" s="27" t="str">
        <x:v>Staging xanh; no secret leak; domain resolved; architecture approved</x:v>
      </x:c>
      <x:c r="F2" s="27" t="str">
        <x:v>Release Manager</x:v>
      </x:c>
      <x:c r="G2" s="27" t="str">
        <x:v>Not Started</x:v>
      </x:c>
      <x:c r="H2" s="56" t="n">
        <x:v>0</x:v>
      </x:c>
    </x:row>
    <x:row r="3">
      <x:c r="A3" s="27" t="str">
        <x:v>P1 - Public &amp; Learning MVP</x:v>
      </x:c>
      <x:c r="B3" s="27" t="str">
        <x:v>31-90 ngày</x:v>
      </x:c>
      <x:c r="C3" s="27" t="str">
        <x:v>Website song ngữ + nội dung MVP</x:v>
      </x:c>
      <x:c r="D3" s="27" t="str">
        <x:v>5 paths; 30 lessons; 100 demos; placement; progress; parent/teacher pages; SEO/a11y</x:v>
      </x:c>
      <x:c r="E3" s="27" t="str">
        <x:v>Core routes/E2E pass; content QA; no placeholder</x:v>
      </x:c>
      <x:c r="F3" s="27" t="str">
        <x:v>Product Lead</x:v>
      </x:c>
      <x:c r="G3" s="27" t="str">
        <x:v>Not Started</x:v>
      </x:c>
      <x:c r="H3" s="56" t="n">
        <x:v>0</x:v>
      </x:c>
    </x:row>
    <x:row r="4">
      <x:c r="A4" s="27" t="str">
        <x:v>P2 - Guardian &amp; Paid Academy</x:v>
      </x:c>
      <x:c r="B4" s="27" t="str">
        <x:v>Tháng 4-6</x:v>
      </x:c>
      <x:c r="C4" s="27" t="str">
        <x:v>Tài khoản theo tuổi và thương mại</x:v>
      </x:c>
      <x:c r="D4" s="27" t="str">
        <x:v>Guardian consent; Family/Creator plans; payments; entitlement; cohorts; reports</x:v>
      </x:c>
      <x:c r="E4" s="27" t="str">
        <x:v>Guardian E2E; payment lifecycle; privacy workflows</x:v>
      </x:c>
      <x:c r="F4" s="27" t="str">
        <x:v>Product + Finance</x:v>
      </x:c>
      <x:c r="G4" s="27" t="str">
        <x:v>Not Started</x:v>
      </x:c>
      <x:c r="H4" s="56" t="n">
        <x:v>0</x:v>
      </x:c>
    </x:row>
    <x:row r="5">
      <x:c r="A5" s="27" t="str">
        <x:v>P3 - AI Agent MVP</x:v>
      </x:c>
      <x:c r="B5" s="27" t="str">
        <x:v>Tháng 4-7</x:v>
      </x:c>
      <x:c r="C5" s="27" t="str">
        <x:v>AI có kiểm soát</x:v>
      </x:c>
      <x:c r="D5" s="27" t="str">
        <x:v>Gateway; Tutor; Code Coach; evals; quota; audit; cost dashboard; kill switch</x:v>
      </x:c>
      <x:c r="E5" s="27" t="str">
        <x:v>Safety/eval thresholds; provider fallback; no PII leak</x:v>
      </x:c>
      <x:c r="F5" s="27" t="str">
        <x:v>AI Lead</x:v>
      </x:c>
      <x:c r="G5" s="27" t="str">
        <x:v>Not Started</x:v>
      </x:c>
      <x:c r="H5" s="56" t="n">
        <x:v>0</x:v>
      </x:c>
    </x:row>
    <x:row r="6">
      <x:c r="A6" s="27" t="str">
        <x:v>P4 - CodeLab</x:v>
      </x:c>
      <x:c r="B6" s="27" t="str">
        <x:v>Tháng 6-9</x:v>
      </x:c>
      <x:c r="C6" s="27" t="str">
        <x:v>Thực hành code an toàn</x:v>
      </x:c>
      <x:c r="D6" s="27" t="str">
        <x:v>HTML/CSS/JS/Python; editor; preview; tests; versions; sandbox</x:v>
      </x:c>
      <x:c r="E6" s="27" t="str">
        <x:v>Isolation/resource/abuse tests pass</x:v>
      </x:c>
      <x:c r="F6" s="27" t="str">
        <x:v>Technical Lead</x:v>
      </x:c>
      <x:c r="G6" s="27" t="str">
        <x:v>Not Started</x:v>
      </x:c>
      <x:c r="H6" s="56" t="n">
        <x:v>0</x:v>
      </x:c>
    </x:row>
    <x:row r="7">
      <x:c r="A7" s="27" t="str">
        <x:v>P5 - Portfolio &amp; Market Pilot</x:v>
      </x:c>
      <x:c r="B7" s="27" t="str">
        <x:v>Tháng 8-11</x:v>
      </x:c>
      <x:c r="C7" s="27" t="str">
        <x:v>Evidence và creator economy</x:v>
      </x:c>
      <x:c r="D7" s="27" t="str">
        <x:v>Portfolio privacy; certificate verify; creator onboarding; product review; test sales</x:v>
      </x:c>
      <x:c r="E7" s="27" t="str">
        <x:v>Legal/trust/security gates; minor payout design</x:v>
      </x:c>
      <x:c r="F7" s="27" t="str">
        <x:v>Marketplace Lead</x:v>
      </x:c>
      <x:c r="G7" s="27" t="str">
        <x:v>Not Started</x:v>
      </x:c>
      <x:c r="H7" s="56" t="n">
        <x:v>0</x:v>
      </x:c>
    </x:row>
    <x:row r="8">
      <x:c r="A8" s="27" t="str">
        <x:v>P6 - School Pilot</x:v>
      </x:c>
      <x:c r="B8" s="27" t="str">
        <x:v>Tháng 10-12</x:v>
      </x:c>
      <x:c r="C8" s="27" t="str">
        <x:v>Triển khai trường học</x:v>
      </x:c>
      <x:c r="D8" s="27" t="str">
        <x:v>Classroom; assignments; reports; licenses; organization isolation</x:v>
      </x:c>
      <x:c r="E8" s="27" t="str">
        <x:v>RBAC/data isolation; 3-10 pilots</x:v>
      </x:c>
      <x:c r="F8" s="27" t="str">
        <x:v>School Product Lead</x:v>
      </x:c>
      <x:c r="G8" s="27" t="str">
        <x:v>Not Started</x:v>
      </x:c>
      <x:c r="H8" s="56" t="n">
        <x:v>0</x:v>
      </x:c>
    </x:row>
    <x:row r="9">
      <x:c r="A9" s="27" t="str">
        <x:v>P7 - Scale &amp; Global</x:v>
      </x:c>
      <x:c r="B9" s="27" t="str">
        <x:v>Tháng 12-18</x:v>
      </x:c>
      <x:c r="C9" s="27" t="str">
        <x:v>Mở rộng dựa trên bằng chứng</x:v>
      </x:c>
      <x:c r="D9" s="27" t="str">
        <x:v>International landing/pricing; jurisdiction policy; scale; independent reviews</x:v>
      </x:c>
      <x:c r="E9" s="27" t="str">
        <x:v>Retention, unit economics, security/privacy review</x:v>
      </x:c>
      <x:c r="F9" s="27" t="str">
        <x:v>Founder + CEO</x:v>
      </x:c>
      <x:c r="G9" s="27" t="str">
        <x:v>Not Started</x:v>
      </x:c>
      <x:c r="H9" s="56" t="n">
        <x:v>0</x:v>
      </x:c>
    </x:row>
  </x:sheetData>
  <x:conditionalFormatting sqref="G2:G9">
    <x:cfRule type="expression" dxfId="0" priority="1">
      <x:formula>G2="Done"</x:formula>
    </x:cfRule>
    <x:cfRule type="expression" dxfId="1" priority="2">
      <x:formula>G2="Blocked"</x:formula>
    </x:cfRule>
  </x:conditionalFormatting>
  <x:dataValidations count="1">
    <x:dataValidation type="list" sqref="G2:G9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c840f0771b4f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</x:cols>
  <x:sheetData>
    <x:row r="1">
      <x:c r="A1" s="19" t="str">
        <x:v>ID</x:v>
      </x:c>
      <x:c r="B1" s="19" t="str">
        <x:v>Phase</x:v>
      </x:c>
      <x:c r="C1" s="19" t="str">
        <x:v>Workstream</x:v>
      </x:c>
      <x:c r="D1" s="19" t="str">
        <x:v>Task/Deliverable</x:v>
      </x:c>
      <x:c r="E1" s="19" t="str">
        <x:v>Owner</x:v>
      </x:c>
      <x:c r="F1" s="19" t="str">
        <x:v>Priority</x:v>
      </x:c>
      <x:c r="G1" s="19" t="str">
        <x:v>Dependency</x:v>
      </x:c>
      <x:c r="H1" s="19" t="str">
        <x:v>Status</x:v>
      </x:c>
      <x:c r="I1" s="19" t="str">
        <x:v>Evidence</x:v>
      </x:c>
      <x:c r="J1" s="19" t="str">
        <x:v>Due/Window</x:v>
      </x:c>
    </x:row>
    <x:row r="2">
      <x:c r="A2" s="27" t="str">
        <x:v>W001</x:v>
      </x:c>
      <x:c r="B2" s="27" t="str">
        <x:v>P0</x:v>
      </x:c>
      <x:c r="C2" s="27" t="str">
        <x:v>Discovery</x:v>
      </x:c>
      <x:c r="D2" s="27" t="str">
        <x:v>Xác định repo, branch, framework, deploy target</x:v>
      </x:c>
      <x:c r="E2" s="27" t="str">
        <x:v>Technical Lead</x:v>
      </x:c>
      <x:c r="F2" s="27" t="str">
        <x:v>P0</x:v>
      </x:c>
      <x:c r="G2" s="27" t="str">
        <x:v>-</x:v>
      </x:c>
      <x:c r="H2" s="27" t="str">
        <x:v>Not Started</x:v>
      </x:c>
      <x:c r="I2" s="27" t="str">
        <x:v>Baseline audit</x:v>
      </x:c>
      <x:c r="J2" s="27" t="str">
        <x:v>Day 1-3</x:v>
      </x:c>
    </x:row>
    <x:row r="3">
      <x:c r="A3" s="27" t="str">
        <x:v>W002</x:v>
      </x:c>
      <x:c r="B3" s="27" t="str">
        <x:v>P0</x:v>
      </x:c>
      <x:c r="C3" s="27" t="str">
        <x:v>Domain</x:v>
      </x:c>
      <x:c r="D3" s="27" t="str">
        <x:v>Xác minh ownership, DNS, SSL, canonical, redirects</x:v>
      </x:c>
      <x:c r="E3" s="27" t="str">
        <x:v>SRE</x:v>
      </x:c>
      <x:c r="F3" s="27" t="str">
        <x:v>P0</x:v>
      </x:c>
      <x:c r="G3" s="27" t="str">
        <x:v>W001</x:v>
      </x:c>
      <x:c r="H3" s="27" t="str">
        <x:v>Not Started</x:v>
      </x:c>
      <x:c r="I3" s="27" t="str">
        <x:v>DNS/SSL report</x:v>
      </x:c>
      <x:c r="J3" s="27" t="str">
        <x:v>Day 1-7</x:v>
      </x:c>
    </x:row>
    <x:row r="4">
      <x:c r="A4" s="27" t="str">
        <x:v>W003</x:v>
      </x:c>
      <x:c r="B4" s="27" t="str">
        <x:v>P0</x:v>
      </x:c>
      <x:c r="C4" s="27" t="str">
        <x:v>Governance</x:v>
      </x:c>
      <x:c r="D4" s="27" t="str">
        <x:v>Founder Lock và approval workflow</x:v>
      </x:c>
      <x:c r="E4" s="27" t="str">
        <x:v>Founder/Product</x:v>
      </x:c>
      <x:c r="F4" s="27" t="str">
        <x:v>P0</x:v>
      </x:c>
      <x:c r="G4" s="27" t="str">
        <x:v>-</x:v>
      </x:c>
      <x:c r="H4" s="27" t="str">
        <x:v>Not Started</x:v>
      </x:c>
      <x:c r="I4" s="27" t="str">
        <x:v>Signed Founder Lock</x:v>
      </x:c>
      <x:c r="J4" s="27" t="str">
        <x:v>Day 1-5</x:v>
      </x:c>
    </x:row>
    <x:row r="5">
      <x:c r="A5" s="27" t="str">
        <x:v>W004</x:v>
      </x:c>
      <x:c r="B5" s="27" t="str">
        <x:v>P0</x:v>
      </x:c>
      <x:c r="C5" s="27" t="str">
        <x:v>Architecture</x:v>
      </x:c>
      <x:c r="D5" s="27" t="str">
        <x:v>System/data/API/AI/sandbox/deployment architecture</x:v>
      </x:c>
      <x:c r="E5" s="27" t="str">
        <x:v>Technical Lead</x:v>
      </x:c>
      <x:c r="F5" s="27" t="str">
        <x:v>P0</x:v>
      </x:c>
      <x:c r="G5" s="27" t="str">
        <x:v>W001</x:v>
      </x:c>
      <x:c r="H5" s="27" t="str">
        <x:v>Not Started</x:v>
      </x:c>
      <x:c r="I5" s="27" t="str">
        <x:v>Architecture docs</x:v>
      </x:c>
      <x:c r="J5" s="27" t="str">
        <x:v>Day 3-14</x:v>
      </x:c>
    </x:row>
    <x:row r="6">
      <x:c r="A6" s="27" t="str">
        <x:v>W005</x:v>
      </x:c>
      <x:c r="B6" s="27" t="str">
        <x:v>P0</x:v>
      </x:c>
      <x:c r="C6" s="27" t="str">
        <x:v>Privacy</x:v>
      </x:c>
      <x:c r="D6" s="27" t="str">
        <x:v>Data map, consent model, retention, export/delete</x:v>
      </x:c>
      <x:c r="E6" s="27" t="str">
        <x:v>Privacy Lead</x:v>
      </x:c>
      <x:c r="F6" s="27" t="str">
        <x:v>P0</x:v>
      </x:c>
      <x:c r="G6" s="27" t="str">
        <x:v>W004</x:v>
      </x:c>
      <x:c r="H6" s="27" t="str">
        <x:v>Not Started</x:v>
      </x:c>
      <x:c r="I6" s="27" t="str">
        <x:v>Privacy design review</x:v>
      </x:c>
      <x:c r="J6" s="27" t="str">
        <x:v>Day 5-20</x:v>
      </x:c>
    </x:row>
    <x:row r="7">
      <x:c r="A7" s="27" t="str">
        <x:v>W006</x:v>
      </x:c>
      <x:c r="B7" s="27" t="str">
        <x:v>P0</x:v>
      </x:c>
      <x:c r="C7" s="27" t="str">
        <x:v>Child Safety</x:v>
      </x:c>
      <x:c r="D7" s="27" t="str">
        <x:v>Age bands, guardian, moderation, AI restrictions</x:v>
      </x:c>
      <x:c r="E7" s="27" t="str">
        <x:v>Safety Officer</x:v>
      </x:c>
      <x:c r="F7" s="27" t="str">
        <x:v>P0</x:v>
      </x:c>
      <x:c r="G7" s="27" t="str">
        <x:v>W004</x:v>
      </x:c>
      <x:c r="H7" s="27" t="str">
        <x:v>Not Started</x:v>
      </x:c>
      <x:c r="I7" s="27" t="str">
        <x:v>Safety gate report</x:v>
      </x:c>
      <x:c r="J7" s="27" t="str">
        <x:v>Day 5-20</x:v>
      </x:c>
    </x:row>
    <x:row r="8">
      <x:c r="A8" s="27" t="str">
        <x:v>W007</x:v>
      </x:c>
      <x:c r="B8" s="27" t="str">
        <x:v>P0</x:v>
      </x:c>
      <x:c r="C8" s="27" t="str">
        <x:v>Security</x:v>
      </x:c>
      <x:c r="D8" s="27" t="str">
        <x:v>Threat model, secret scan, baseline controls</x:v>
      </x:c>
      <x:c r="E8" s="27" t="str">
        <x:v>Security Lead</x:v>
      </x:c>
      <x:c r="F8" s="27" t="str">
        <x:v>P0</x:v>
      </x:c>
      <x:c r="G8" s="27" t="str">
        <x:v>W001</x:v>
      </x:c>
      <x:c r="H8" s="27" t="str">
        <x:v>Not Started</x:v>
      </x:c>
      <x:c r="I8" s="27" t="str">
        <x:v>Security baseline</x:v>
      </x:c>
      <x:c r="J8" s="27" t="str">
        <x:v>Day 3-20</x:v>
      </x:c>
    </x:row>
    <x:row r="9">
      <x:c r="A9" s="27" t="str">
        <x:v>W008</x:v>
      </x:c>
      <x:c r="B9" s="27" t="str">
        <x:v>P0</x:v>
      </x:c>
      <x:c r="C9" s="27" t="str">
        <x:v>CI/CD</x:v>
      </x:c>
      <x:c r="D9" s="27" t="str">
        <x:v>Preview/staging/prod pipelines and branch protection</x:v>
      </x:c>
      <x:c r="E9" s="27" t="str">
        <x:v>DevOps</x:v>
      </x:c>
      <x:c r="F9" s="27" t="str">
        <x:v>P0</x:v>
      </x:c>
      <x:c r="G9" s="27" t="str">
        <x:v>W001</x:v>
      </x:c>
      <x:c r="H9" s="27" t="str">
        <x:v>Not Started</x:v>
      </x:c>
      <x:c r="I9" s="27" t="str">
        <x:v>Pipeline logs</x:v>
      </x:c>
      <x:c r="J9" s="27" t="str">
        <x:v>Day 5-20</x:v>
      </x:c>
    </x:row>
    <x:row r="10">
      <x:c r="A10" s="27" t="str">
        <x:v>W009</x:v>
      </x:c>
      <x:c r="B10" s="27" t="str">
        <x:v>P1</x:v>
      </x:c>
      <x:c r="C10" s="27" t="str">
        <x:v>Design System</x:v>
      </x:c>
      <x:c r="D10" s="27" t="str">
        <x:v>Brand tokens, components, accessibility specs</x:v>
      </x:c>
      <x:c r="E10" s="27" t="str">
        <x:v>Design Lead</x:v>
      </x:c>
      <x:c r="F10" s="27" t="str">
        <x:v>P1</x:v>
      </x:c>
      <x:c r="G10" s="27" t="str">
        <x:v>W003</x:v>
      </x:c>
      <x:c r="H10" s="27" t="str">
        <x:v>Not Started</x:v>
      </x:c>
      <x:c r="I10" s="27" t="str">
        <x:v>Design system</x:v>
      </x:c>
      <x:c r="J10" s="27" t="str">
        <x:v>Day 10-30</x:v>
      </x:c>
    </x:row>
    <x:row r="11">
      <x:c r="A11" s="27" t="str">
        <x:v>W010</x:v>
      </x:c>
      <x:c r="B11" s="27" t="str">
        <x:v>P1</x:v>
      </x:c>
      <x:c r="C11" s="27" t="str">
        <x:v>Public Web</x:v>
      </x:c>
      <x:c r="D11" s="27" t="str">
        <x:v>Bilingual public routes, SEO, safety and legal pages</x:v>
      </x:c>
      <x:c r="E11" s="27" t="str">
        <x:v>Frontend Lead</x:v>
      </x:c>
      <x:c r="F11" s="27" t="str">
        <x:v>P0</x:v>
      </x:c>
      <x:c r="G11" s="27" t="str">
        <x:v>W009</x:v>
      </x:c>
      <x:c r="H11" s="27" t="str">
        <x:v>Not Started</x:v>
      </x:c>
      <x:c r="I11" s="27" t="str">
        <x:v>Live route matrix</x:v>
      </x:c>
      <x:c r="J11" s="27" t="str">
        <x:v>Day 20-60</x:v>
      </x:c>
    </x:row>
    <x:row r="12">
      <x:c r="A12" s="27" t="str">
        <x:v>W011</x:v>
      </x:c>
      <x:c r="B12" s="27" t="str">
        <x:v>P1</x:v>
      </x:c>
      <x:c r="C12" s="27" t="str">
        <x:v>Curriculum</x:v>
      </x:c>
      <x:c r="D12" s="27" t="str">
        <x:v>5 paths, 30 lessons, 100 demos</x:v>
      </x:c>
      <x:c r="E12" s="27" t="str">
        <x:v>Curriculum Lead</x:v>
      </x:c>
      <x:c r="F12" s="27" t="str">
        <x:v>P0</x:v>
      </x:c>
      <x:c r="G12" s="27" t="str">
        <x:v>W003</x:v>
      </x:c>
      <x:c r="H12" s="27" t="str">
        <x:v>Not Started</x:v>
      </x:c>
      <x:c r="I12" s="27" t="str">
        <x:v>Content manifest</x:v>
      </x:c>
      <x:c r="J12" s="27" t="str">
        <x:v>Day 10-80</x:v>
      </x:c>
    </x:row>
    <x:row r="13">
      <x:c r="A13" s="27" t="str">
        <x:v>W012</x:v>
      </x:c>
      <x:c r="B13" s="27" t="str">
        <x:v>P1</x:v>
      </x:c>
      <x:c r="C13" s="27" t="str">
        <x:v>Learning App</x:v>
      </x:c>
      <x:c r="D13" s="27" t="str">
        <x:v>Enrollment, lesson progress, project submission</x:v>
      </x:c>
      <x:c r="E13" s="27" t="str">
        <x:v>Product Engineering</x:v>
      </x:c>
      <x:c r="F13" s="27" t="str">
        <x:v>P0</x:v>
      </x:c>
      <x:c r="G13" s="27" t="str">
        <x:v>W004</x:v>
      </x:c>
      <x:c r="H13" s="27" t="str">
        <x:v>Not Started</x:v>
      </x:c>
      <x:c r="I13" s="27" t="str">
        <x:v>E2E report</x:v>
      </x:c>
      <x:c r="J13" s="27" t="str">
        <x:v>Day 30-90</x:v>
      </x:c>
    </x:row>
    <x:row r="14">
      <x:c r="A14" s="27" t="str">
        <x:v>W013</x:v>
      </x:c>
      <x:c r="B14" s="27" t="str">
        <x:v>P2</x:v>
      </x:c>
      <x:c r="C14" s="27" t="str">
        <x:v>Auth</x:v>
      </x:c>
      <x:c r="D14" s="27" t="str">
        <x:v>Age-aware auth, verification, sessions, recovery</x:v>
      </x:c>
      <x:c r="E14" s="27" t="str">
        <x:v>Backend Lead</x:v>
      </x:c>
      <x:c r="F14" s="27" t="str">
        <x:v>P0</x:v>
      </x:c>
      <x:c r="G14" s="27" t="str">
        <x:v>W004</x:v>
      </x:c>
      <x:c r="H14" s="27" t="str">
        <x:v>Not Started</x:v>
      </x:c>
      <x:c r="I14" s="27" t="str">
        <x:v>Auth E2E/security</x:v>
      </x:c>
      <x:c r="J14" s="27" t="str">
        <x:v>Month 2-4</x:v>
      </x:c>
    </x:row>
    <x:row r="15">
      <x:c r="A15" s="27" t="str">
        <x:v>W014</x:v>
      </x:c>
      <x:c r="B15" s="27" t="str">
        <x:v>P2</x:v>
      </x:c>
      <x:c r="C15" s="27" t="str">
        <x:v>Guardian</x:v>
      </x:c>
      <x:c r="D15" s="27" t="str">
        <x:v>Guardian link, consent, parent portal</x:v>
      </x:c>
      <x:c r="E15" s="27" t="str">
        <x:v>Backend + UX</x:v>
      </x:c>
      <x:c r="F15" s="27" t="str">
        <x:v>P0</x:v>
      </x:c>
      <x:c r="G15" s="27" t="str">
        <x:v>W013,W005,W006</x:v>
      </x:c>
      <x:c r="H15" s="27" t="str">
        <x:v>Not Started</x:v>
      </x:c>
      <x:c r="I15" s="27" t="str">
        <x:v>Guardian E2E</x:v>
      </x:c>
      <x:c r="J15" s="27" t="str">
        <x:v>Month 2-5</x:v>
      </x:c>
    </x:row>
    <x:row r="16">
      <x:c r="A16" s="27" t="str">
        <x:v>W015</x:v>
      </x:c>
      <x:c r="B16" s="27" t="str">
        <x:v>P2</x:v>
      </x:c>
      <x:c r="C16" s="27" t="str">
        <x:v>Payments</x:v>
      </x:c>
      <x:c r="D16" s="27" t="str">
        <x:v>Plans, checkout, webhooks, entitlement, refund</x:v>
      </x:c>
      <x:c r="E16" s="27" t="str">
        <x:v>Commerce Lead</x:v>
      </x:c>
      <x:c r="F16" s="27" t="str">
        <x:v>P0</x:v>
      </x:c>
      <x:c r="G16" s="27" t="str">
        <x:v>W013</x:v>
      </x:c>
      <x:c r="H16" s="27" t="str">
        <x:v>Not Started</x:v>
      </x:c>
      <x:c r="I16" s="27" t="str">
        <x:v>Payment lifecycle tests</x:v>
      </x:c>
      <x:c r="J16" s="27" t="str">
        <x:v>Month 4-6</x:v>
      </x:c>
    </x:row>
    <x:row r="17">
      <x:c r="A17" s="27" t="str">
        <x:v>W016</x:v>
      </x:c>
      <x:c r="B17" s="27" t="str">
        <x:v>P3</x:v>
      </x:c>
      <x:c r="C17" s="27" t="str">
        <x:v>AI Gateway</x:v>
      </x:c>
      <x:c r="D17" s="27" t="str">
        <x:v>Integrate aiagent.iai.one server-side</x:v>
      </x:c>
      <x:c r="E17" s="27" t="str">
        <x:v>AI Lead</x:v>
      </x:c>
      <x:c r="F17" s="27" t="str">
        <x:v>P0</x:v>
      </x:c>
      <x:c r="G17" s="27" t="str">
        <x:v>W013,W005</x:v>
      </x:c>
      <x:c r="H17" s="27" t="str">
        <x:v>Not Started</x:v>
      </x:c>
      <x:c r="I17" s="27" t="str">
        <x:v>Contract/eval report</x:v>
      </x:c>
      <x:c r="J17" s="27" t="str">
        <x:v>Month 4-7</x:v>
      </x:c>
    </x:row>
    <x:row r="18">
      <x:c r="A18" s="27" t="str">
        <x:v>W017</x:v>
      </x:c>
      <x:c r="B18" s="27" t="str">
        <x:v>P3</x:v>
      </x:c>
      <x:c r="C18" s="27" t="str">
        <x:v>AI Safety</x:v>
      </x:c>
      <x:c r="D18" s="27" t="str">
        <x:v>Quota, audit, moderation, kill switch, fallback</x:v>
      </x:c>
      <x:c r="E18" s="27" t="str">
        <x:v>AI + Safety</x:v>
      </x:c>
      <x:c r="F18" s="27" t="str">
        <x:v>P0</x:v>
      </x:c>
      <x:c r="G18" s="27" t="str">
        <x:v>W016,W006</x:v>
      </x:c>
      <x:c r="H18" s="27" t="str">
        <x:v>Not Started</x:v>
      </x:c>
      <x:c r="I18" s="27" t="str">
        <x:v>AI safety tests</x:v>
      </x:c>
      <x:c r="J18" s="27" t="str">
        <x:v>Month 4-7</x:v>
      </x:c>
    </x:row>
    <x:row r="19">
      <x:c r="A19" s="27" t="str">
        <x:v>W018</x:v>
      </x:c>
      <x:c r="B19" s="27" t="str">
        <x:v>P4</x:v>
      </x:c>
      <x:c r="C19" s="27" t="str">
        <x:v>CodeLab</x:v>
      </x:c>
      <x:c r="D19" s="27" t="str">
        <x:v>Editor, preview, versions, tests</x:v>
      </x:c>
      <x:c r="E19" s="27" t="str">
        <x:v>CodeLab Lead</x:v>
      </x:c>
      <x:c r="F19" s="27" t="str">
        <x:v>P1</x:v>
      </x:c>
      <x:c r="G19" s="27" t="str">
        <x:v>W012</x:v>
      </x:c>
      <x:c r="H19" s="27" t="str">
        <x:v>Not Started</x:v>
      </x:c>
      <x:c r="I19" s="27" t="str">
        <x:v>Functional E2E</x:v>
      </x:c>
      <x:c r="J19" s="27" t="str">
        <x:v>Month 6-9</x:v>
      </x:c>
    </x:row>
    <x:row r="20">
      <x:c r="A20" s="27" t="str">
        <x:v>W019</x:v>
      </x:c>
      <x:c r="B20" s="27" t="str">
        <x:v>P4</x:v>
      </x:c>
      <x:c r="C20" s="27" t="str">
        <x:v>Sandbox</x:v>
      </x:c>
      <x:c r="D20" s="27" t="str">
        <x:v>Isolation, limits, network policy, abuse tests</x:v>
      </x:c>
      <x:c r="E20" s="27" t="str">
        <x:v>Security/SRE</x:v>
      </x:c>
      <x:c r="F20" s="27" t="str">
        <x:v>P0</x:v>
      </x:c>
      <x:c r="G20" s="27" t="str">
        <x:v>W018</x:v>
      </x:c>
      <x:c r="H20" s="27" t="str">
        <x:v>Not Started</x:v>
      </x:c>
      <x:c r="I20" s="27" t="str">
        <x:v>Sandbox security report</x:v>
      </x:c>
      <x:c r="J20" s="27" t="str">
        <x:v>Month 6-9</x:v>
      </x:c>
    </x:row>
    <x:row r="21">
      <x:c r="A21" s="27" t="str">
        <x:v>W020</x:v>
      </x:c>
      <x:c r="B21" s="27" t="str">
        <x:v>P5</x:v>
      </x:c>
      <x:c r="C21" s="27" t="str">
        <x:v>Portfolio</x:v>
      </x:c>
      <x:c r="D21" s="27" t="str">
        <x:v>Evidence, privacy levels, certificate verification</x:v>
      </x:c>
      <x:c r="E21" s="27" t="str">
        <x:v>Product Lead</x:v>
      </x:c>
      <x:c r="F21" s="27" t="str">
        <x:v>P1</x:v>
      </x:c>
      <x:c r="G21" s="27" t="str">
        <x:v>W012,W014</x:v>
      </x:c>
      <x:c r="H21" s="27" t="str">
        <x:v>Not Started</x:v>
      </x:c>
      <x:c r="I21" s="27" t="str">
        <x:v>Privacy/E2E evidence</x:v>
      </x:c>
      <x:c r="J21" s="27" t="str">
        <x:v>Month 7-10</x:v>
      </x:c>
    </x:row>
    <x:row r="22">
      <x:c r="A22" s="27" t="str">
        <x:v>W021</x:v>
      </x:c>
      <x:c r="B22" s="27" t="str">
        <x:v>P5</x:v>
      </x:c>
      <x:c r="C22" s="27" t="str">
        <x:v>Marketplace</x:v>
      </x:c>
      <x:c r="D22" s="27" t="str">
        <x:v>Creator onboarding, products, license, review</x:v>
      </x:c>
      <x:c r="E22" s="27" t="str">
        <x:v>Marketplace Lead</x:v>
      </x:c>
      <x:c r="F22" s="27" t="str">
        <x:v>P1</x:v>
      </x:c>
      <x:c r="G22" s="27" t="str">
        <x:v>W015,W020</x:v>
      </x:c>
      <x:c r="H22" s="27" t="str">
        <x:v>Not Started</x:v>
      </x:c>
      <x:c r="I22" s="27" t="str">
        <x:v>Pilot release evidence</x:v>
      </x:c>
      <x:c r="J22" s="27" t="str">
        <x:v>Month 8-11</x:v>
      </x:c>
    </x:row>
    <x:row r="23">
      <x:c r="A23" s="27" t="str">
        <x:v>W022</x:v>
      </x:c>
      <x:c r="B23" s="27" t="str">
        <x:v>P5</x:v>
      </x:c>
      <x:c r="C23" s="27" t="str">
        <x:v>Moderation</x:v>
      </x:c>
      <x:c r="D23" s="27" t="str">
        <x:v>Reports, takedown, dispute, sanctions</x:v>
      </x:c>
      <x:c r="E23" s="27" t="str">
        <x:v>Trust Lead</x:v>
      </x:c>
      <x:c r="F23" s="27" t="str">
        <x:v>P0</x:v>
      </x:c>
      <x:c r="G23" s="27" t="str">
        <x:v>W021,W006</x:v>
      </x:c>
      <x:c r="H23" s="27" t="str">
        <x:v>Not Started</x:v>
      </x:c>
      <x:c r="I23" s="27" t="str">
        <x:v>Moderation drills</x:v>
      </x:c>
      <x:c r="J23" s="27" t="str">
        <x:v>Month 8-11</x:v>
      </x:c>
    </x:row>
    <x:row r="24">
      <x:c r="A24" s="27" t="str">
        <x:v>W023</x:v>
      </x:c>
      <x:c r="B24" s="27" t="str">
        <x:v>P6</x:v>
      </x:c>
      <x:c r="C24" s="27" t="str">
        <x:v>School</x:v>
      </x:c>
      <x:c r="D24" s="27" t="str">
        <x:v>Classroom, assignments, reports, license</x:v>
      </x:c>
      <x:c r="E24" s="27" t="str">
        <x:v>School Product Lead</x:v>
      </x:c>
      <x:c r="F24" s="27" t="str">
        <x:v>P1</x:v>
      </x:c>
      <x:c r="G24" s="27" t="str">
        <x:v>W012,W013</x:v>
      </x:c>
      <x:c r="H24" s="27" t="str">
        <x:v>Not Started</x:v>
      </x:c>
      <x:c r="I24" s="27" t="str">
        <x:v>School pilot report</x:v>
      </x:c>
      <x:c r="J24" s="27" t="str">
        <x:v>Month 10-12</x:v>
      </x:c>
    </x:row>
    <x:row r="25">
      <x:c r="A25" s="27" t="str">
        <x:v>W024</x:v>
      </x:c>
      <x:c r="B25" s="27" t="str">
        <x:v>All</x:v>
      </x:c>
      <x:c r="C25" s="27" t="str">
        <x:v>QA</x:v>
      </x:c>
      <x:c r="D25" s="27" t="str">
        <x:v>Unit/integration/E2E/a11y/security/performance</x:v>
      </x:c>
      <x:c r="E25" s="27" t="str">
        <x:v>QA Lead</x:v>
      </x:c>
      <x:c r="F25" s="27" t="str">
        <x:v>P0</x:v>
      </x:c>
      <x:c r="G25" s="27" t="str">
        <x:v>All modules</x:v>
      </x:c>
      <x:c r="H25" s="27" t="str">
        <x:v>Not Started</x:v>
      </x:c>
      <x:c r="I25" s="27" t="str">
        <x:v>QA reports</x:v>
      </x:c>
      <x:c r="J25" s="27" t="str">
        <x:v>Continuous</x:v>
      </x:c>
    </x:row>
    <x:row r="26">
      <x:c r="A26" s="27" t="str">
        <x:v>W025</x:v>
      </x:c>
      <x:c r="B26" s="27" t="str">
        <x:v>All</x:v>
      </x:c>
      <x:c r="C26" s="27" t="str">
        <x:v>Release</x:v>
      </x:c>
      <x:c r="D26" s="27" t="str">
        <x:v>Live verification and evidence packet</x:v>
      </x:c>
      <x:c r="E26" s="27" t="str">
        <x:v>Release Manager</x:v>
      </x:c>
      <x:c r="F26" s="27" t="str">
        <x:v>P0</x:v>
      </x:c>
      <x:c r="G26" s="27" t="str">
        <x:v>W024</x:v>
      </x:c>
      <x:c r="H26" s="27" t="str">
        <x:v>Not Started</x:v>
      </x:c>
      <x:c r="I26" s="27" t="str">
        <x:v>Production evidence</x:v>
      </x:c>
      <x:c r="J26" s="27" t="str">
        <x:v>Each release</x:v>
      </x:c>
    </x:row>
  </x:sheetData>
  <x:conditionalFormatting sqref="H2:H26">
    <x:cfRule type="expression" dxfId="2" priority="1">
      <x:formula>H2="Done"</x:formula>
    </x:cfRule>
    <x:cfRule type="expression" dxfId="3" priority="2">
      <x:formula>H2="Blocked"</x:formula>
    </x:cfRule>
  </x:conditionalFormatting>
  <x:conditionalFormatting sqref="F2:F26">
    <x:cfRule type="expression" dxfId="4" priority="3">
      <x:formula>F2="P0"</x:formula>
    </x:cfRule>
  </x:conditionalFormatting>
  <x:dataValidations count="2">
    <x:dataValidation type="list" sqref="F2:F26">
      <x:formula1>"P0,P1,P2,P3"</x:formula1>
    </x:dataValidation>
    <x:dataValidation type="list" sqref="H2:H26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c1e336a4ae45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</x:cols>
  <x:sheetData>
    <x:row r="1">
      <x:c r="A1" s="19" t="str">
        <x:v>Gate ID</x:v>
      </x:c>
      <x:c r="B1" s="19" t="str">
        <x:v>Gate</x:v>
      </x:c>
      <x:c r="C1" s="19" t="str">
        <x:v>Acceptance Criteria</x:v>
      </x:c>
      <x:c r="D1" s="19" t="str">
        <x:v>Priority</x:v>
      </x:c>
      <x:c r="E1" s="19" t="str">
        <x:v>Status</x:v>
      </x:c>
      <x:c r="F1" s="19" t="str">
        <x:v>Owner</x:v>
      </x:c>
      <x:c r="G1" s="19" t="str">
        <x:v>Evidence Link/Ref</x:v>
      </x:c>
      <x:c r="H1" s="19" t="str">
        <x:v>Blocker Notes</x:v>
      </x:c>
    </x:row>
    <x:row r="2">
      <x:c r="A2" s="27" t="str">
        <x:v>G01</x:v>
      </x:c>
      <x:c r="B2" s="27" t="str">
        <x:v>Product</x:v>
      </x:c>
      <x:c r="C2" s="27" t="str">
        <x:v>Không placeholder; routes/CTA chính hoạt động; 30 lessons và 100 demos đã QA</x:v>
      </x:c>
      <x:c r="D2" s="27" t="str">
        <x:v>P0</x:v>
      </x:c>
      <x:c r="E2" s="27" t="str">
        <x:v>NOT TESTED</x:v>
      </x:c>
      <x:c r="F2" s="27" t="str">
        <x:v>Product Lead</x:v>
      </x:c>
      <x:c r="G2" s="27" t="str"/>
      <x:c r="H2" s="27" t="str"/>
    </x:row>
    <x:row r="3">
      <x:c r="A3" s="27" t="str">
        <x:v>G02</x:v>
      </x:c>
      <x:c r="B3" s="27" t="str">
        <x:v>Functional</x:v>
      </x:c>
      <x:c r="C3" s="27" t="str">
        <x:v>Core E2E 100% pass cho phạm vi release</x:v>
      </x:c>
      <x:c r="D3" s="27" t="str">
        <x:v>P0</x:v>
      </x:c>
      <x:c r="E3" s="27" t="str">
        <x:v>NOT TESTED</x:v>
      </x:c>
      <x:c r="F3" s="27" t="str">
        <x:v>QA Lead</x:v>
      </x:c>
      <x:c r="G3" s="27" t="str"/>
      <x:c r="H3" s="27" t="str"/>
    </x:row>
    <x:row r="4">
      <x:c r="A4" s="27" t="str">
        <x:v>G03</x:v>
      </x:c>
      <x:c r="B4" s="27" t="str">
        <x:v>Security</x:v>
      </x:c>
      <x:c r="C4" s="27" t="str">
        <x:v>0 P0; 0 unresolved P1; authz/secret/dependency tests pass</x:v>
      </x:c>
      <x:c r="D4" s="27" t="str">
        <x:v>P0</x:v>
      </x:c>
      <x:c r="E4" s="27" t="str">
        <x:v>NOT TESTED</x:v>
      </x:c>
      <x:c r="F4" s="27" t="str">
        <x:v>Security Lead</x:v>
      </x:c>
      <x:c r="G4" s="27" t="str"/>
      <x:c r="H4" s="27" t="str"/>
    </x:row>
    <x:row r="5">
      <x:c r="A5" s="27" t="str">
        <x:v>G04</x:v>
      </x:c>
      <x:c r="B5" s="27" t="str">
        <x:v>Child Safety</x:v>
      </x:c>
      <x:c r="C5" s="27" t="str">
        <x:v>Consent, guardian, privacy default, abuse report, AI restrictions pass</x:v>
      </x:c>
      <x:c r="D5" s="27" t="str">
        <x:v>P0</x:v>
      </x:c>
      <x:c r="E5" s="27" t="str">
        <x:v>NOT TESTED</x:v>
      </x:c>
      <x:c r="F5" s="27" t="str">
        <x:v>Safety Officer</x:v>
      </x:c>
      <x:c r="G5" s="27" t="str"/>
      <x:c r="H5" s="27" t="str"/>
    </x:row>
    <x:row r="6">
      <x:c r="A6" s="27" t="str">
        <x:v>G05</x:v>
      </x:c>
      <x:c r="B6" s="27" t="str">
        <x:v>Data Protection</x:v>
      </x:c>
      <x:c r="C6" s="27" t="str">
        <x:v>Policy versioning, export/delete, retention, incident workflow</x:v>
      </x:c>
      <x:c r="D6" s="27" t="str">
        <x:v>P0</x:v>
      </x:c>
      <x:c r="E6" s="27" t="str">
        <x:v>NOT TESTED</x:v>
      </x:c>
      <x:c r="F6" s="27" t="str">
        <x:v>Privacy Lead</x:v>
      </x:c>
      <x:c r="G6" s="27" t="str"/>
      <x:c r="H6" s="27" t="str"/>
    </x:row>
    <x:row r="7">
      <x:c r="A7" s="27" t="str">
        <x:v>G06</x:v>
      </x:c>
      <x:c r="B7" s="27" t="str">
        <x:v>Accessibility</x:v>
      </x:c>
      <x:c r="C7" s="27" t="str">
        <x:v>Automated + keyboard + screen reader sample; no blocker</x:v>
      </x:c>
      <x:c r="D7" s="27" t="str">
        <x:v>P1</x:v>
      </x:c>
      <x:c r="E7" s="27" t="str">
        <x:v>NOT TESTED</x:v>
      </x:c>
      <x:c r="F7" s="27" t="str">
        <x:v>Accessibility Lead</x:v>
      </x:c>
      <x:c r="G7" s="27" t="str"/>
      <x:c r="H7" s="27" t="str"/>
    </x:row>
    <x:row r="8">
      <x:c r="A8" s="27" t="str">
        <x:v>G07</x:v>
      </x:c>
      <x:c r="B8" s="27" t="str">
        <x:v>Performance</x:v>
      </x:c>
      <x:c r="C8" s="27" t="str">
        <x:v>Core routes measured; no critical regression; budgets documented</x:v>
      </x:c>
      <x:c r="D8" s="27" t="str">
        <x:v>P1</x:v>
      </x:c>
      <x:c r="E8" s="27" t="str">
        <x:v>NOT TESTED</x:v>
      </x:c>
      <x:c r="F8" s="27" t="str">
        <x:v>SRE/Frontend</x:v>
      </x:c>
      <x:c r="G8" s="27" t="str"/>
      <x:c r="H8" s="27" t="str"/>
    </x:row>
    <x:row r="9">
      <x:c r="A9" s="27" t="str">
        <x:v>G08</x:v>
      </x:c>
      <x:c r="B9" s="27" t="str">
        <x:v>SEO</x:v>
      </x:c>
      <x:c r="C9" s="27" t="str">
        <x:v>Canonical, hreflang, sitemap, robots, metadata, noindex private</x:v>
      </x:c>
      <x:c r="D9" s="27" t="str">
        <x:v>P1</x:v>
      </x:c>
      <x:c r="E9" s="27" t="str">
        <x:v>NOT TESTED</x:v>
      </x:c>
      <x:c r="F9" s="27" t="str">
        <x:v>SEO Lead</x:v>
      </x:c>
      <x:c r="G9" s="27" t="str"/>
      <x:c r="H9" s="27" t="str"/>
    </x:row>
    <x:row r="10">
      <x:c r="A10" s="27" t="str">
        <x:v>G09</x:v>
      </x:c>
      <x:c r="B10" s="27" t="str">
        <x:v>Operations</x:v>
      </x:c>
      <x:c r="C10" s="27" t="str">
        <x:v>Monitoring, alerts, backup, restore test, runbook, rollback</x:v>
      </x:c>
      <x:c r="D10" s="27" t="str">
        <x:v>P0</x:v>
      </x:c>
      <x:c r="E10" s="27" t="str">
        <x:v>NOT TESTED</x:v>
      </x:c>
      <x:c r="F10" s="27" t="str">
        <x:v>SRE</x:v>
      </x:c>
      <x:c r="G10" s="27" t="str"/>
      <x:c r="H10" s="27" t="str"/>
    </x:row>
    <x:row r="11">
      <x:c r="A11" s="27" t="str">
        <x:v>G10</x:v>
      </x:c>
      <x:c r="B11" s="27" t="str">
        <x:v>Production Evidence</x:v>
      </x:c>
      <x:c r="C11" s="27" t="str">
        <x:v>URL, SHA, deployment ID, UTC time, live E2E, screenshots</x:v>
      </x:c>
      <x:c r="D11" s="27" t="str">
        <x:v>P0</x:v>
      </x:c>
      <x:c r="E11" s="27" t="str">
        <x:v>NOT TESTED</x:v>
      </x:c>
      <x:c r="F11" s="27" t="str">
        <x:v>Release Manager</x:v>
      </x:c>
      <x:c r="G11" s="27" t="str"/>
      <x:c r="H11" s="27" t="str"/>
    </x:row>
  </x:sheetData>
  <x:conditionalFormatting sqref="E2:E11">
    <x:cfRule type="expression" dxfId="5" priority="1">
      <x:formula>E2="PASS"</x:formula>
    </x:cfRule>
    <x:cfRule type="expression" dxfId="6" priority="2">
      <x:formula>OR(E2="FAIL",E2="BLOCKED")</x:formula>
    </x:cfRule>
  </x:conditionalFormatting>
  <x:dataValidations count="1">
    <x:dataValidation type="list" sqref="E2:E11">
      <x:formula1>"NOT TESTED,PASS,FAIL,BLOCKED,ACCEPTED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b8141ca3694c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>
      <x:c r="A1" s="19" t="str">
        <x:v>Risk ID</x:v>
      </x:c>
      <x:c r="B1" s="19" t="str">
        <x:v>Category</x:v>
      </x:c>
      <x:c r="C1" s="19" t="str">
        <x:v>Risk</x:v>
      </x:c>
      <x:c r="D1" s="19" t="str">
        <x:v>Likelihood</x:v>
      </x:c>
      <x:c r="E1" s="19" t="str">
        <x:v>Impact</x:v>
      </x:c>
      <x:c r="F1" s="19" t="str">
        <x:v>Score</x:v>
      </x:c>
      <x:c r="G1" s="19" t="str">
        <x:v>Mitigation</x:v>
      </x:c>
      <x:c r="H1" s="19" t="str">
        <x:v>Owner</x:v>
      </x:c>
      <x:c r="I1" s="19" t="str">
        <x:v>Status</x:v>
      </x:c>
    </x:row>
    <x:row r="2">
      <x:c r="A2" s="27" t="str">
        <x:v>R01</x:v>
      </x:c>
      <x:c r="B2" s="27" t="str">
        <x:v>Child Safety</x:v>
      </x:c>
      <x:c r="C2" s="27" t="str">
        <x:v>AI hoặc cộng đồng làm lộ PII/trẻ tiếp xúc nội dung không phù hợp</x:v>
      </x:c>
      <x:c r="D2" s="27" t="n">
        <x:v>5</x:v>
      </x:c>
      <x:c r="E2" s="27" t="n">
        <x:v>5</x:v>
      </x:c>
      <x:c r="F2" s="27" t="n">
        <x:f>D2*E2</x:f>
        <x:v>25</x:v>
      </x:c>
      <x:c r="G2" s="27" t="str">
        <x:v>Default private; guardian; moderation; age policy; kill switch</x:v>
      </x:c>
      <x:c r="H2" s="27" t="str">
        <x:v>Safety Officer</x:v>
      </x:c>
      <x:c r="I2" s="27" t="str">
        <x:v>Open</x:v>
      </x:c>
    </x:row>
    <x:row r="3">
      <x:c r="A3" s="27" t="str">
        <x:v>R02</x:v>
      </x:c>
      <x:c r="B3" s="27" t="str">
        <x:v>Security</x:v>
      </x:c>
      <x:c r="C3" s="27" t="str">
        <x:v>Code sandbox escape hoặc resource abuse</x:v>
      </x:c>
      <x:c r="D3" s="27" t="n">
        <x:v>3</x:v>
      </x:c>
      <x:c r="E3" s="27" t="n">
        <x:v>5</x:v>
      </x:c>
      <x:c r="F3" s="27" t="n">
        <x:f>D3*E3</x:f>
        <x:v>15</x:v>
      </x:c>
      <x:c r="G3" s="27" t="str">
        <x:v>Isolation; network deny; quotas; penetration tests</x:v>
      </x:c>
      <x:c r="H3" s="27" t="str">
        <x:v>Security Lead</x:v>
      </x:c>
      <x:c r="I3" s="27" t="str">
        <x:v>Open</x:v>
      </x:c>
    </x:row>
    <x:row r="4">
      <x:c r="A4" s="27" t="str">
        <x:v>R03</x:v>
      </x:c>
      <x:c r="B4" s="27" t="str">
        <x:v>Content</x:v>
      </x:c>
      <x:c r="C4" s="27" t="str">
        <x:v>AI tạo nội dung sai/trùng lặp hoặc code lỗi</x:v>
      </x:c>
      <x:c r="D4" s="27" t="n">
        <x:v>4</x:v>
      </x:c>
      <x:c r="E4" s="27" t="n">
        <x:v>4</x:v>
      </x:c>
      <x:c r="F4" s="27" t="n">
        <x:f>D4*E4</x:f>
        <x:v>16</x:v>
      </x:c>
      <x:c r="G4" s="27" t="str">
        <x:v>Schema, tests, bilingual/technical/human review</x:v>
      </x:c>
      <x:c r="H4" s="27" t="str">
        <x:v>Curriculum Lead</x:v>
      </x:c>
      <x:c r="I4" s="27" t="str">
        <x:v>Open</x:v>
      </x:c>
    </x:row>
    <x:row r="5">
      <x:c r="A5" s="27" t="str">
        <x:v>R04</x:v>
      </x:c>
      <x:c r="B5" s="27" t="str">
        <x:v>Privacy</x:v>
      </x:c>
      <x:c r="C5" s="27" t="str">
        <x:v>Consent/retention/data transfer không đúng luật</x:v>
      </x:c>
      <x:c r="D5" s="27" t="n">
        <x:v>3</x:v>
      </x:c>
      <x:c r="E5" s="27" t="n">
        <x:v>5</x:v>
      </x:c>
      <x:c r="F5" s="27" t="n">
        <x:f>D5*E5</x:f>
        <x:v>15</x:v>
      </x:c>
      <x:c r="G5" s="27" t="str">
        <x:v>Data map; legal review; versioned consent; vendor DPAs</x:v>
      </x:c>
      <x:c r="H5" s="27" t="str">
        <x:v>Privacy Lead</x:v>
      </x:c>
      <x:c r="I5" s="27" t="str">
        <x:v>Open</x:v>
      </x:c>
    </x:row>
    <x:row r="6">
      <x:c r="A6" s="27" t="str">
        <x:v>R05</x:v>
      </x:c>
      <x:c r="B6" s="27" t="str">
        <x:v>Business</x:v>
      </x:c>
      <x:c r="C6" s="27" t="str">
        <x:v>CAC cao, churn cao, AI cost vượt gross margin</x:v>
      </x:c>
      <x:c r="D6" s="27" t="n">
        <x:v>4</x:v>
      </x:c>
      <x:c r="E6" s="27" t="n">
        <x:v>4</x:v>
      </x:c>
      <x:c r="F6" s="27" t="n">
        <x:f>D6*E6</x:f>
        <x:v>16</x:v>
      </x:c>
      <x:c r="G6" s="27" t="str">
        <x:v>Quota; cohort data; unit economics; pricing tests</x:v>
      </x:c>
      <x:c r="H6" s="27" t="str">
        <x:v>Finance/Product</x:v>
      </x:c>
      <x:c r="I6" s="27" t="str">
        <x:v>Open</x:v>
      </x:c>
    </x:row>
    <x:row r="7">
      <x:c r="A7" s="27" t="str">
        <x:v>R06</x:v>
      </x:c>
      <x:c r="B7" s="27" t="str">
        <x:v>Brand</x:v>
      </x:c>
      <x:c r="C7" s="27" t="str">
        <x:v>Overclaim về AI, doanh thu, chứng chỉ hoặc quy mô</x:v>
      </x:c>
      <x:c r="D7" s="27" t="n">
        <x:v>3</x:v>
      </x:c>
      <x:c r="E7" s="27" t="n">
        <x:v>4</x:v>
      </x:c>
      <x:c r="F7" s="27" t="n">
        <x:f>D7*E7</x:f>
        <x:v>12</x:v>
      </x:c>
      <x:c r="G7" s="27" t="str">
        <x:v>Founder Lock; evidence-first claims; approval workflow</x:v>
      </x:c>
      <x:c r="H7" s="27" t="str">
        <x:v>Founder/Product</x:v>
      </x:c>
      <x:c r="I7" s="27" t="str">
        <x:v>Open</x:v>
      </x:c>
    </x:row>
    <x:row r="8">
      <x:c r="A8" s="27" t="str">
        <x:v>R07</x:v>
      </x:c>
      <x:c r="B8" s="27" t="str">
        <x:v>Marketplace</x:v>
      </x:c>
      <x:c r="C8" s="27" t="str">
        <x:v>Copyright/malware/refund/payout tranh chấp</x:v>
      </x:c>
      <x:c r="D8" s="27" t="n">
        <x:v>4</x:v>
      </x:c>
      <x:c r="E8" s="27" t="n">
        <x:v>5</x:v>
      </x:c>
      <x:c r="F8" s="27" t="n">
        <x:f>D8*E8</x:f>
        <x:v>20</x:v>
      </x:c>
      <x:c r="G8" s="27" t="str">
        <x:v>Pilot only; scans; licenses; moderation; payout hold</x:v>
      </x:c>
      <x:c r="H8" s="27" t="str">
        <x:v>Marketplace Lead</x:v>
      </x:c>
      <x:c r="I8" s="27" t="str">
        <x:v>Open</x:v>
      </x:c>
    </x:row>
    <x:row r="9">
      <x:c r="A9" s="27" t="str">
        <x:v>R08</x:v>
      </x:c>
      <x:c r="B9" s="27" t="str">
        <x:v>Operations</x:v>
      </x:c>
      <x:c r="C9" s="27" t="str">
        <x:v>Domain/SSL/payment/email/AI provider outage</x:v>
      </x:c>
      <x:c r="D9" s="27" t="n">
        <x:v>3</x:v>
      </x:c>
      <x:c r="E9" s="27" t="n">
        <x:v>4</x:v>
      </x:c>
      <x:c r="F9" s="27" t="n">
        <x:f>D9*E9</x:f>
        <x:v>12</x:v>
      </x:c>
      <x:c r="G9" s="27" t="str">
        <x:v>Monitoring; fallback; runbooks; rollback</x:v>
      </x:c>
      <x:c r="H9" s="27" t="str">
        <x:v>SRE</x:v>
      </x:c>
      <x:c r="I9" s="27" t="str">
        <x:v>Open</x:v>
      </x:c>
    </x:row>
  </x:sheetData>
  <x:conditionalFormatting sqref="F2:F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D2:E9">
      <x:formula1>"1,2,3,4,5"</x:formula1>
    </x:dataValidation>
    <x:dataValidation type="list" sqref="I2:I9">
      <x:formula1>"Open,Mitigating,Accepted,Closed"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90ba647c6047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19" t="str">
        <x:v>ID</x:v>
      </x:c>
      <x:c r="B1" s="19" t="str">
        <x:v>Age Band</x:v>
      </x:c>
      <x:c r="C1" s="19" t="str">
        <x:v>Type</x:v>
      </x:c>
      <x:c r="D1" s="19" t="str">
        <x:v>Title/Theme</x:v>
      </x:c>
      <x:c r="E1" s="19" t="str">
        <x:v>Locale</x:v>
      </x:c>
      <x:c r="F1" s="19" t="str">
        <x:v>Technical QA</x:v>
      </x:c>
      <x:c r="G1" s="19" t="str">
        <x:v>Language QA</x:v>
      </x:c>
      <x:c r="H1" s="19" t="str">
        <x:v>Safety QA</x:v>
      </x:c>
      <x:c r="I1" s="19" t="str">
        <x:v>Human Approval</x:v>
      </x:c>
      <x:c r="J1" s="19" t="str">
        <x:v>Publish Status</x:v>
      </x:c>
    </x:row>
    <x:row r="2">
      <x:c r="A2" s="27" t="str">
        <x:v>L0101</x:v>
      </x:c>
      <x:c r="B2" s="27" t="str">
        <x:v>8-10</x:v>
      </x:c>
      <x:c r="C2" s="27" t="str">
        <x:v>Lesson</x:v>
      </x:c>
      <x:c r="D2" s="27" t="str">
        <x:v>Bài học MVP 1 - lộ trình 8-10</x:v>
      </x:c>
      <x:c r="E2" s="27" t="str">
        <x:v>VI+EN</x:v>
      </x:c>
      <x:c r="F2" s="27" t="str">
        <x:v>Pending</x:v>
      </x:c>
      <x:c r="G2" s="27" t="str">
        <x:v>Pending</x:v>
      </x:c>
      <x:c r="H2" s="27" t="str">
        <x:v>Pending</x:v>
      </x:c>
      <x:c r="I2" s="27" t="str">
        <x:v>Pending</x:v>
      </x:c>
      <x:c r="J2" s="27" t="str">
        <x:v>Draft</x:v>
      </x:c>
    </x:row>
    <x:row r="3">
      <x:c r="A3" s="27" t="str">
        <x:v>L0102</x:v>
      </x:c>
      <x:c r="B3" s="27" t="str">
        <x:v>8-10</x:v>
      </x:c>
      <x:c r="C3" s="27" t="str">
        <x:v>Lesson</x:v>
      </x:c>
      <x:c r="D3" s="27" t="str">
        <x:v>Bài học MVP 2 - lộ trình 8-10</x:v>
      </x:c>
      <x:c r="E3" s="27" t="str">
        <x:v>VI+EN</x:v>
      </x:c>
      <x:c r="F3" s="27" t="str">
        <x:v>Pending</x:v>
      </x:c>
      <x:c r="G3" s="27" t="str">
        <x:v>Pending</x:v>
      </x:c>
      <x:c r="H3" s="27" t="str">
        <x:v>Pending</x:v>
      </x:c>
      <x:c r="I3" s="27" t="str">
        <x:v>Pending</x:v>
      </x:c>
      <x:c r="J3" s="27" t="str">
        <x:v>Draft</x:v>
      </x:c>
    </x:row>
    <x:row r="4">
      <x:c r="A4" s="27" t="str">
        <x:v>L0103</x:v>
      </x:c>
      <x:c r="B4" s="27" t="str">
        <x:v>8-10</x:v>
      </x:c>
      <x:c r="C4" s="27" t="str">
        <x:v>Lesson</x:v>
      </x:c>
      <x:c r="D4" s="27" t="str">
        <x:v>Bài học MVP 3 - lộ trình 8-10</x:v>
      </x:c>
      <x:c r="E4" s="27" t="str">
        <x:v>VI+EN</x:v>
      </x:c>
      <x:c r="F4" s="27" t="str">
        <x:v>Pending</x:v>
      </x:c>
      <x:c r="G4" s="27" t="str">
        <x:v>Pending</x:v>
      </x:c>
      <x:c r="H4" s="27" t="str">
        <x:v>Pending</x:v>
      </x:c>
      <x:c r="I4" s="27" t="str">
        <x:v>Pending</x:v>
      </x:c>
      <x:c r="J4" s="27" t="str">
        <x:v>Draft</x:v>
      </x:c>
    </x:row>
    <x:row r="5">
      <x:c r="A5" s="27" t="str">
        <x:v>L0104</x:v>
      </x:c>
      <x:c r="B5" s="27" t="str">
        <x:v>8-10</x:v>
      </x:c>
      <x:c r="C5" s="27" t="str">
        <x:v>Lesson</x:v>
      </x:c>
      <x:c r="D5" s="27" t="str">
        <x:v>Bài học MVP 4 - lộ trình 8-10</x:v>
      </x:c>
      <x:c r="E5" s="27" t="str">
        <x:v>VI+EN</x:v>
      </x:c>
      <x:c r="F5" s="27" t="str">
        <x:v>Pending</x:v>
      </x:c>
      <x:c r="G5" s="27" t="str">
        <x:v>Pending</x:v>
      </x:c>
      <x:c r="H5" s="27" t="str">
        <x:v>Pending</x:v>
      </x:c>
      <x:c r="I5" s="27" t="str">
        <x:v>Pending</x:v>
      </x:c>
      <x:c r="J5" s="27" t="str">
        <x:v>Draft</x:v>
      </x:c>
    </x:row>
    <x:row r="6">
      <x:c r="A6" s="27" t="str">
        <x:v>L0105</x:v>
      </x:c>
      <x:c r="B6" s="27" t="str">
        <x:v>8-10</x:v>
      </x:c>
      <x:c r="C6" s="27" t="str">
        <x:v>Lesson</x:v>
      </x:c>
      <x:c r="D6" s="27" t="str">
        <x:v>Bài học MVP 5 - lộ trình 8-10</x:v>
      </x:c>
      <x:c r="E6" s="27" t="str">
        <x:v>VI+EN</x:v>
      </x:c>
      <x:c r="F6" s="27" t="str">
        <x:v>Pending</x:v>
      </x:c>
      <x:c r="G6" s="27" t="str">
        <x:v>Pending</x:v>
      </x:c>
      <x:c r="H6" s="27" t="str">
        <x:v>Pending</x:v>
      </x:c>
      <x:c r="I6" s="27" t="str">
        <x:v>Pending</x:v>
      </x:c>
      <x:c r="J6" s="27" t="str">
        <x:v>Draft</x:v>
      </x:c>
    </x:row>
    <x:row r="7">
      <x:c r="A7" s="27" t="str">
        <x:v>L0106</x:v>
      </x:c>
      <x:c r="B7" s="27" t="str">
        <x:v>8-10</x:v>
      </x:c>
      <x:c r="C7" s="27" t="str">
        <x:v>Lesson</x:v>
      </x:c>
      <x:c r="D7" s="27" t="str">
        <x:v>Bài học MVP 6 - lộ trình 8-10</x:v>
      </x:c>
      <x:c r="E7" s="27" t="str">
        <x:v>VI+EN</x:v>
      </x:c>
      <x:c r="F7" s="27" t="str">
        <x:v>Pending</x:v>
      </x:c>
      <x:c r="G7" s="27" t="str">
        <x:v>Pending</x:v>
      </x:c>
      <x:c r="H7" s="27" t="str">
        <x:v>Pending</x:v>
      </x:c>
      <x:c r="I7" s="27" t="str">
        <x:v>Pending</x:v>
      </x:c>
      <x:c r="J7" s="27" t="str">
        <x:v>Draft</x:v>
      </x:c>
    </x:row>
    <x:row r="8">
      <x:c r="A8" s="27" t="str">
        <x:v>L0201</x:v>
      </x:c>
      <x:c r="B8" s="27" t="str">
        <x:v>11-13</x:v>
      </x:c>
      <x:c r="C8" s="27" t="str">
        <x:v>Lesson</x:v>
      </x:c>
      <x:c r="D8" s="27" t="str">
        <x:v>Bài học MVP 1 - lộ trình 11-13</x:v>
      </x:c>
      <x:c r="E8" s="27" t="str">
        <x:v>VI+EN</x:v>
      </x:c>
      <x:c r="F8" s="27" t="str">
        <x:v>Pending</x:v>
      </x:c>
      <x:c r="G8" s="27" t="str">
        <x:v>Pending</x:v>
      </x:c>
      <x:c r="H8" s="27" t="str">
        <x:v>Pending</x:v>
      </x:c>
      <x:c r="I8" s="27" t="str">
        <x:v>Pending</x:v>
      </x:c>
      <x:c r="J8" s="27" t="str">
        <x:v>Draft</x:v>
      </x:c>
    </x:row>
    <x:row r="9">
      <x:c r="A9" s="27" t="str">
        <x:v>L0202</x:v>
      </x:c>
      <x:c r="B9" s="27" t="str">
        <x:v>11-13</x:v>
      </x:c>
      <x:c r="C9" s="27" t="str">
        <x:v>Lesson</x:v>
      </x:c>
      <x:c r="D9" s="27" t="str">
        <x:v>Bài học MVP 2 - lộ trình 11-13</x:v>
      </x:c>
      <x:c r="E9" s="27" t="str">
        <x:v>VI+EN</x:v>
      </x:c>
      <x:c r="F9" s="27" t="str">
        <x:v>Pending</x:v>
      </x:c>
      <x:c r="G9" s="27" t="str">
        <x:v>Pending</x:v>
      </x:c>
      <x:c r="H9" s="27" t="str">
        <x:v>Pending</x:v>
      </x:c>
      <x:c r="I9" s="27" t="str">
        <x:v>Pending</x:v>
      </x:c>
      <x:c r="J9" s="27" t="str">
        <x:v>Draft</x:v>
      </x:c>
    </x:row>
    <x:row r="10">
      <x:c r="A10" s="27" t="str">
        <x:v>L0203</x:v>
      </x:c>
      <x:c r="B10" s="27" t="str">
        <x:v>11-13</x:v>
      </x:c>
      <x:c r="C10" s="27" t="str">
        <x:v>Lesson</x:v>
      </x:c>
      <x:c r="D10" s="27" t="str">
        <x:v>Bài học MVP 3 - lộ trình 11-13</x:v>
      </x:c>
      <x:c r="E10" s="27" t="str">
        <x:v>VI+EN</x:v>
      </x:c>
      <x:c r="F10" s="27" t="str">
        <x:v>Pending</x:v>
      </x:c>
      <x:c r="G10" s="27" t="str">
        <x:v>Pending</x:v>
      </x:c>
      <x:c r="H10" s="27" t="str">
        <x:v>Pending</x:v>
      </x:c>
      <x:c r="I10" s="27" t="str">
        <x:v>Pending</x:v>
      </x:c>
      <x:c r="J10" s="27" t="str">
        <x:v>Draft</x:v>
      </x:c>
    </x:row>
    <x:row r="11">
      <x:c r="A11" s="27" t="str">
        <x:v>L0204</x:v>
      </x:c>
      <x:c r="B11" s="27" t="str">
        <x:v>11-13</x:v>
      </x:c>
      <x:c r="C11" s="27" t="str">
        <x:v>Lesson</x:v>
      </x:c>
      <x:c r="D11" s="27" t="str">
        <x:v>Bài học MVP 4 - lộ trình 11-13</x:v>
      </x:c>
      <x:c r="E11" s="27" t="str">
        <x:v>VI+EN</x:v>
      </x:c>
      <x:c r="F11" s="27" t="str">
        <x:v>Pending</x:v>
      </x:c>
      <x:c r="G11" s="27" t="str">
        <x:v>Pending</x:v>
      </x:c>
      <x:c r="H11" s="27" t="str">
        <x:v>Pending</x:v>
      </x:c>
      <x:c r="I11" s="27" t="str">
        <x:v>Pending</x:v>
      </x:c>
      <x:c r="J11" s="27" t="str">
        <x:v>Draft</x:v>
      </x:c>
    </x:row>
    <x:row r="12">
      <x:c r="A12" s="27" t="str">
        <x:v>L0205</x:v>
      </x:c>
      <x:c r="B12" s="27" t="str">
        <x:v>11-13</x:v>
      </x:c>
      <x:c r="C12" s="27" t="str">
        <x:v>Lesson</x:v>
      </x:c>
      <x:c r="D12" s="27" t="str">
        <x:v>Bài học MVP 5 - lộ trình 11-13</x:v>
      </x:c>
      <x:c r="E12" s="27" t="str">
        <x:v>VI+EN</x:v>
      </x:c>
      <x:c r="F12" s="27" t="str">
        <x:v>Pending</x:v>
      </x:c>
      <x:c r="G12" s="27" t="str">
        <x:v>Pending</x:v>
      </x:c>
      <x:c r="H12" s="27" t="str">
        <x:v>Pending</x:v>
      </x:c>
      <x:c r="I12" s="27" t="str">
        <x:v>Pending</x:v>
      </x:c>
      <x:c r="J12" s="27" t="str">
        <x:v>Draft</x:v>
      </x:c>
    </x:row>
    <x:row r="13">
      <x:c r="A13" s="27" t="str">
        <x:v>L0206</x:v>
      </x:c>
      <x:c r="B13" s="27" t="str">
        <x:v>11-13</x:v>
      </x:c>
      <x:c r="C13" s="27" t="str">
        <x:v>Lesson</x:v>
      </x:c>
      <x:c r="D13" s="27" t="str">
        <x:v>Bài học MVP 6 - lộ trình 11-13</x:v>
      </x:c>
      <x:c r="E13" s="27" t="str">
        <x:v>VI+EN</x:v>
      </x:c>
      <x:c r="F13" s="27" t="str">
        <x:v>Pending</x:v>
      </x:c>
      <x:c r="G13" s="27" t="str">
        <x:v>Pending</x:v>
      </x:c>
      <x:c r="H13" s="27" t="str">
        <x:v>Pending</x:v>
      </x:c>
      <x:c r="I13" s="27" t="str">
        <x:v>Pending</x:v>
      </x:c>
      <x:c r="J13" s="27" t="str">
        <x:v>Draft</x:v>
      </x:c>
    </x:row>
    <x:row r="14">
      <x:c r="A14" s="27" t="str">
        <x:v>L0301</x:v>
      </x:c>
      <x:c r="B14" s="27" t="str">
        <x:v>14-17</x:v>
      </x:c>
      <x:c r="C14" s="27" t="str">
        <x:v>Lesson</x:v>
      </x:c>
      <x:c r="D14" s="27" t="str">
        <x:v>Bài học MVP 1 - lộ trình 14-17</x:v>
      </x:c>
      <x:c r="E14" s="27" t="str">
        <x:v>VI+EN</x:v>
      </x:c>
      <x:c r="F14" s="27" t="str">
        <x:v>Pending</x:v>
      </x:c>
      <x:c r="G14" s="27" t="str">
        <x:v>Pending</x:v>
      </x:c>
      <x:c r="H14" s="27" t="str">
        <x:v>Pending</x:v>
      </x:c>
      <x:c r="I14" s="27" t="str">
        <x:v>Pending</x:v>
      </x:c>
      <x:c r="J14" s="27" t="str">
        <x:v>Draft</x:v>
      </x:c>
    </x:row>
    <x:row r="15">
      <x:c r="A15" s="27" t="str">
        <x:v>L0302</x:v>
      </x:c>
      <x:c r="B15" s="27" t="str">
        <x:v>14-17</x:v>
      </x:c>
      <x:c r="C15" s="27" t="str">
        <x:v>Lesson</x:v>
      </x:c>
      <x:c r="D15" s="27" t="str">
        <x:v>Bài học MVP 2 - lộ trình 14-17</x:v>
      </x:c>
      <x:c r="E15" s="27" t="str">
        <x:v>VI+EN</x:v>
      </x:c>
      <x:c r="F15" s="27" t="str">
        <x:v>Pending</x:v>
      </x:c>
      <x:c r="G15" s="27" t="str">
        <x:v>Pending</x:v>
      </x:c>
      <x:c r="H15" s="27" t="str">
        <x:v>Pending</x:v>
      </x:c>
      <x:c r="I15" s="27" t="str">
        <x:v>Pending</x:v>
      </x:c>
      <x:c r="J15" s="27" t="str">
        <x:v>Draft</x:v>
      </x:c>
    </x:row>
    <x:row r="16">
      <x:c r="A16" s="27" t="str">
        <x:v>L0303</x:v>
      </x:c>
      <x:c r="B16" s="27" t="str">
        <x:v>14-17</x:v>
      </x:c>
      <x:c r="C16" s="27" t="str">
        <x:v>Lesson</x:v>
      </x:c>
      <x:c r="D16" s="27" t="str">
        <x:v>Bài học MVP 3 - lộ trình 14-17</x:v>
      </x:c>
      <x:c r="E16" s="27" t="str">
        <x:v>VI+EN</x:v>
      </x:c>
      <x:c r="F16" s="27" t="str">
        <x:v>Pending</x:v>
      </x:c>
      <x:c r="G16" s="27" t="str">
        <x:v>Pending</x:v>
      </x:c>
      <x:c r="H16" s="27" t="str">
        <x:v>Pending</x:v>
      </x:c>
      <x:c r="I16" s="27" t="str">
        <x:v>Pending</x:v>
      </x:c>
      <x:c r="J16" s="27" t="str">
        <x:v>Draft</x:v>
      </x:c>
    </x:row>
    <x:row r="17">
      <x:c r="A17" s="27" t="str">
        <x:v>L0304</x:v>
      </x:c>
      <x:c r="B17" s="27" t="str">
        <x:v>14-17</x:v>
      </x:c>
      <x:c r="C17" s="27" t="str">
        <x:v>Lesson</x:v>
      </x:c>
      <x:c r="D17" s="27" t="str">
        <x:v>Bài học MVP 4 - lộ trình 14-17</x:v>
      </x:c>
      <x:c r="E17" s="27" t="str">
        <x:v>VI+EN</x:v>
      </x:c>
      <x:c r="F17" s="27" t="str">
        <x:v>Pending</x:v>
      </x:c>
      <x:c r="G17" s="27" t="str">
        <x:v>Pending</x:v>
      </x:c>
      <x:c r="H17" s="27" t="str">
        <x:v>Pending</x:v>
      </x:c>
      <x:c r="I17" s="27" t="str">
        <x:v>Pending</x:v>
      </x:c>
      <x:c r="J17" s="27" t="str">
        <x:v>Draft</x:v>
      </x:c>
    </x:row>
    <x:row r="18">
      <x:c r="A18" s="27" t="str">
        <x:v>L0305</x:v>
      </x:c>
      <x:c r="B18" s="27" t="str">
        <x:v>14-17</x:v>
      </x:c>
      <x:c r="C18" s="27" t="str">
        <x:v>Lesson</x:v>
      </x:c>
      <x:c r="D18" s="27" t="str">
        <x:v>Bài học MVP 5 - lộ trình 14-17</x:v>
      </x:c>
      <x:c r="E18" s="27" t="str">
        <x:v>VI+EN</x:v>
      </x:c>
      <x:c r="F18" s="27" t="str">
        <x:v>Pending</x:v>
      </x:c>
      <x:c r="G18" s="27" t="str">
        <x:v>Pending</x:v>
      </x:c>
      <x:c r="H18" s="27" t="str">
        <x:v>Pending</x:v>
      </x:c>
      <x:c r="I18" s="27" t="str">
        <x:v>Pending</x:v>
      </x:c>
      <x:c r="J18" s="27" t="str">
        <x:v>Draft</x:v>
      </x:c>
    </x:row>
    <x:row r="19">
      <x:c r="A19" s="27" t="str">
        <x:v>L0306</x:v>
      </x:c>
      <x:c r="B19" s="27" t="str">
        <x:v>14-17</x:v>
      </x:c>
      <x:c r="C19" s="27" t="str">
        <x:v>Lesson</x:v>
      </x:c>
      <x:c r="D19" s="27" t="str">
        <x:v>Bài học MVP 6 - lộ trình 14-17</x:v>
      </x:c>
      <x:c r="E19" s="27" t="str">
        <x:v>VI+EN</x:v>
      </x:c>
      <x:c r="F19" s="27" t="str">
        <x:v>Pending</x:v>
      </x:c>
      <x:c r="G19" s="27" t="str">
        <x:v>Pending</x:v>
      </x:c>
      <x:c r="H19" s="27" t="str">
        <x:v>Pending</x:v>
      </x:c>
      <x:c r="I19" s="27" t="str">
        <x:v>Pending</x:v>
      </x:c>
      <x:c r="J19" s="27" t="str">
        <x:v>Draft</x:v>
      </x:c>
    </x:row>
    <x:row r="20">
      <x:c r="A20" s="27" t="str">
        <x:v>L0401</x:v>
      </x:c>
      <x:c r="B20" s="27" t="str">
        <x:v>18-20</x:v>
      </x:c>
      <x:c r="C20" s="27" t="str">
        <x:v>Lesson</x:v>
      </x:c>
      <x:c r="D20" s="27" t="str">
        <x:v>Bài học MVP 1 - lộ trình 18-20</x:v>
      </x:c>
      <x:c r="E20" s="27" t="str">
        <x:v>VI+EN</x:v>
      </x:c>
      <x:c r="F20" s="27" t="str">
        <x:v>Pending</x:v>
      </x:c>
      <x:c r="G20" s="27" t="str">
        <x:v>Pending</x:v>
      </x:c>
      <x:c r="H20" s="27" t="str">
        <x:v>Pending</x:v>
      </x:c>
      <x:c r="I20" s="27" t="str">
        <x:v>Pending</x:v>
      </x:c>
      <x:c r="J20" s="27" t="str">
        <x:v>Draft</x:v>
      </x:c>
    </x:row>
    <x:row r="21">
      <x:c r="A21" s="27" t="str">
        <x:v>L0402</x:v>
      </x:c>
      <x:c r="B21" s="27" t="str">
        <x:v>18-20</x:v>
      </x:c>
      <x:c r="C21" s="27" t="str">
        <x:v>Lesson</x:v>
      </x:c>
      <x:c r="D21" s="27" t="str">
        <x:v>Bài học MVP 2 - lộ trình 18-20</x:v>
      </x:c>
      <x:c r="E21" s="27" t="str">
        <x:v>VI+EN</x:v>
      </x:c>
      <x:c r="F21" s="27" t="str">
        <x:v>Pending</x:v>
      </x:c>
      <x:c r="G21" s="27" t="str">
        <x:v>Pending</x:v>
      </x:c>
      <x:c r="H21" s="27" t="str">
        <x:v>Pending</x:v>
      </x:c>
      <x:c r="I21" s="27" t="str">
        <x:v>Pending</x:v>
      </x:c>
      <x:c r="J21" s="27" t="str">
        <x:v>Draft</x:v>
      </x:c>
    </x:row>
    <x:row r="22">
      <x:c r="A22" s="27" t="str">
        <x:v>L0403</x:v>
      </x:c>
      <x:c r="B22" s="27" t="str">
        <x:v>18-20</x:v>
      </x:c>
      <x:c r="C22" s="27" t="str">
        <x:v>Lesson</x:v>
      </x:c>
      <x:c r="D22" s="27" t="str">
        <x:v>Bài học MVP 3 - lộ trình 18-20</x:v>
      </x:c>
      <x:c r="E22" s="27" t="str">
        <x:v>VI+EN</x:v>
      </x:c>
      <x:c r="F22" s="27" t="str">
        <x:v>Pending</x:v>
      </x:c>
      <x:c r="G22" s="27" t="str">
        <x:v>Pending</x:v>
      </x:c>
      <x:c r="H22" s="27" t="str">
        <x:v>Pending</x:v>
      </x:c>
      <x:c r="I22" s="27" t="str">
        <x:v>Pending</x:v>
      </x:c>
      <x:c r="J22" s="27" t="str">
        <x:v>Draft</x:v>
      </x:c>
    </x:row>
    <x:row r="23">
      <x:c r="A23" s="27" t="str">
        <x:v>L0404</x:v>
      </x:c>
      <x:c r="B23" s="27" t="str">
        <x:v>18-20</x:v>
      </x:c>
      <x:c r="C23" s="27" t="str">
        <x:v>Lesson</x:v>
      </x:c>
      <x:c r="D23" s="27" t="str">
        <x:v>Bài học MVP 4 - lộ trình 18-20</x:v>
      </x:c>
      <x:c r="E23" s="27" t="str">
        <x:v>VI+EN</x:v>
      </x:c>
      <x:c r="F23" s="27" t="str">
        <x:v>Pending</x:v>
      </x:c>
      <x:c r="G23" s="27" t="str">
        <x:v>Pending</x:v>
      </x:c>
      <x:c r="H23" s="27" t="str">
        <x:v>Pending</x:v>
      </x:c>
      <x:c r="I23" s="27" t="str">
        <x:v>Pending</x:v>
      </x:c>
      <x:c r="J23" s="27" t="str">
        <x:v>Draft</x:v>
      </x:c>
    </x:row>
    <x:row r="24">
      <x:c r="A24" s="27" t="str">
        <x:v>L0405</x:v>
      </x:c>
      <x:c r="B24" s="27" t="str">
        <x:v>18-20</x:v>
      </x:c>
      <x:c r="C24" s="27" t="str">
        <x:v>Lesson</x:v>
      </x:c>
      <x:c r="D24" s="27" t="str">
        <x:v>Bài học MVP 5 - lộ trình 18-20</x:v>
      </x:c>
      <x:c r="E24" s="27" t="str">
        <x:v>VI+EN</x:v>
      </x:c>
      <x:c r="F24" s="27" t="str">
        <x:v>Pending</x:v>
      </x:c>
      <x:c r="G24" s="27" t="str">
        <x:v>Pending</x:v>
      </x:c>
      <x:c r="H24" s="27" t="str">
        <x:v>Pending</x:v>
      </x:c>
      <x:c r="I24" s="27" t="str">
        <x:v>Pending</x:v>
      </x:c>
      <x:c r="J24" s="27" t="str">
        <x:v>Draft</x:v>
      </x:c>
    </x:row>
    <x:row r="25">
      <x:c r="A25" s="27" t="str">
        <x:v>L0406</x:v>
      </x:c>
      <x:c r="B25" s="27" t="str">
        <x:v>18-20</x:v>
      </x:c>
      <x:c r="C25" s="27" t="str">
        <x:v>Lesson</x:v>
      </x:c>
      <x:c r="D25" s="27" t="str">
        <x:v>Bài học MVP 6 - lộ trình 18-20</x:v>
      </x:c>
      <x:c r="E25" s="27" t="str">
        <x:v>VI+EN</x:v>
      </x:c>
      <x:c r="F25" s="27" t="str">
        <x:v>Pending</x:v>
      </x:c>
      <x:c r="G25" s="27" t="str">
        <x:v>Pending</x:v>
      </x:c>
      <x:c r="H25" s="27" t="str">
        <x:v>Pending</x:v>
      </x:c>
      <x:c r="I25" s="27" t="str">
        <x:v>Pending</x:v>
      </x:c>
      <x:c r="J25" s="27" t="str">
        <x:v>Draft</x:v>
      </x:c>
    </x:row>
    <x:row r="26">
      <x:c r="A26" s="27" t="str">
        <x:v>L0501</x:v>
      </x:c>
      <x:c r="B26" s="27" t="str">
        <x:v>21-24</x:v>
      </x:c>
      <x:c r="C26" s="27" t="str">
        <x:v>Lesson</x:v>
      </x:c>
      <x:c r="D26" s="27" t="str">
        <x:v>Bài học MVP 1 - lộ trình 21-24</x:v>
      </x:c>
      <x:c r="E26" s="27" t="str">
        <x:v>VI+EN</x:v>
      </x:c>
      <x:c r="F26" s="27" t="str">
        <x:v>Pending</x:v>
      </x:c>
      <x:c r="G26" s="27" t="str">
        <x:v>Pending</x:v>
      </x:c>
      <x:c r="H26" s="27" t="str">
        <x:v>Pending</x:v>
      </x:c>
      <x:c r="I26" s="27" t="str">
        <x:v>Pending</x:v>
      </x:c>
      <x:c r="J26" s="27" t="str">
        <x:v>Draft</x:v>
      </x:c>
    </x:row>
    <x:row r="27">
      <x:c r="A27" s="27" t="str">
        <x:v>L0502</x:v>
      </x:c>
      <x:c r="B27" s="27" t="str">
        <x:v>21-24</x:v>
      </x:c>
      <x:c r="C27" s="27" t="str">
        <x:v>Lesson</x:v>
      </x:c>
      <x:c r="D27" s="27" t="str">
        <x:v>Bài học MVP 2 - lộ trình 21-24</x:v>
      </x:c>
      <x:c r="E27" s="27" t="str">
        <x:v>VI+EN</x:v>
      </x:c>
      <x:c r="F27" s="27" t="str">
        <x:v>Pending</x:v>
      </x:c>
      <x:c r="G27" s="27" t="str">
        <x:v>Pending</x:v>
      </x:c>
      <x:c r="H27" s="27" t="str">
        <x:v>Pending</x:v>
      </x:c>
      <x:c r="I27" s="27" t="str">
        <x:v>Pending</x:v>
      </x:c>
      <x:c r="J27" s="27" t="str">
        <x:v>Draft</x:v>
      </x:c>
    </x:row>
    <x:row r="28">
      <x:c r="A28" s="27" t="str">
        <x:v>L0503</x:v>
      </x:c>
      <x:c r="B28" s="27" t="str">
        <x:v>21-24</x:v>
      </x:c>
      <x:c r="C28" s="27" t="str">
        <x:v>Lesson</x:v>
      </x:c>
      <x:c r="D28" s="27" t="str">
        <x:v>Bài học MVP 3 - lộ trình 21-24</x:v>
      </x:c>
      <x:c r="E28" s="27" t="str">
        <x:v>VI+EN</x:v>
      </x:c>
      <x:c r="F28" s="27" t="str">
        <x:v>Pending</x:v>
      </x:c>
      <x:c r="G28" s="27" t="str">
        <x:v>Pending</x:v>
      </x:c>
      <x:c r="H28" s="27" t="str">
        <x:v>Pending</x:v>
      </x:c>
      <x:c r="I28" s="27" t="str">
        <x:v>Pending</x:v>
      </x:c>
      <x:c r="J28" s="27" t="str">
        <x:v>Draft</x:v>
      </x:c>
    </x:row>
    <x:row r="29">
      <x:c r="A29" s="27" t="str">
        <x:v>L0504</x:v>
      </x:c>
      <x:c r="B29" s="27" t="str">
        <x:v>21-24</x:v>
      </x:c>
      <x:c r="C29" s="27" t="str">
        <x:v>Lesson</x:v>
      </x:c>
      <x:c r="D29" s="27" t="str">
        <x:v>Bài học MVP 4 - lộ trình 21-24</x:v>
      </x:c>
      <x:c r="E29" s="27" t="str">
        <x:v>VI+EN</x:v>
      </x:c>
      <x:c r="F29" s="27" t="str">
        <x:v>Pending</x:v>
      </x:c>
      <x:c r="G29" s="27" t="str">
        <x:v>Pending</x:v>
      </x:c>
      <x:c r="H29" s="27" t="str">
        <x:v>Pending</x:v>
      </x:c>
      <x:c r="I29" s="27" t="str">
        <x:v>Pending</x:v>
      </x:c>
      <x:c r="J29" s="27" t="str">
        <x:v>Draft</x:v>
      </x:c>
    </x:row>
    <x:row r="30">
      <x:c r="A30" s="27" t="str">
        <x:v>L0505</x:v>
      </x:c>
      <x:c r="B30" s="27" t="str">
        <x:v>21-24</x:v>
      </x:c>
      <x:c r="C30" s="27" t="str">
        <x:v>Lesson</x:v>
      </x:c>
      <x:c r="D30" s="27" t="str">
        <x:v>Bài học MVP 5 - lộ trình 21-24</x:v>
      </x:c>
      <x:c r="E30" s="27" t="str">
        <x:v>VI+EN</x:v>
      </x:c>
      <x:c r="F30" s="27" t="str">
        <x:v>Pending</x:v>
      </x:c>
      <x:c r="G30" s="27" t="str">
        <x:v>Pending</x:v>
      </x:c>
      <x:c r="H30" s="27" t="str">
        <x:v>Pending</x:v>
      </x:c>
      <x:c r="I30" s="27" t="str">
        <x:v>Pending</x:v>
      </x:c>
      <x:c r="J30" s="27" t="str">
        <x:v>Draft</x:v>
      </x:c>
    </x:row>
    <x:row r="31">
      <x:c r="A31" s="27" t="str">
        <x:v>L0506</x:v>
      </x:c>
      <x:c r="B31" s="27" t="str">
        <x:v>21-24</x:v>
      </x:c>
      <x:c r="C31" s="27" t="str">
        <x:v>Lesson</x:v>
      </x:c>
      <x:c r="D31" s="27" t="str">
        <x:v>Bài học MVP 6 - lộ trình 21-24</x:v>
      </x:c>
      <x:c r="E31" s="27" t="str">
        <x:v>VI+EN</x:v>
      </x:c>
      <x:c r="F31" s="27" t="str">
        <x:v>Pending</x:v>
      </x:c>
      <x:c r="G31" s="27" t="str">
        <x:v>Pending</x:v>
      </x:c>
      <x:c r="H31" s="27" t="str">
        <x:v>Pending</x:v>
      </x:c>
      <x:c r="I31" s="27" t="str">
        <x:v>Pending</x:v>
      </x:c>
      <x:c r="J31" s="27" t="str">
        <x:v>Draft</x:v>
      </x:c>
    </x:row>
    <x:row r="32">
      <x:c r="A32" s="27" t="str">
        <x:v>P001</x:v>
      </x:c>
      <x:c r="B32" s="27" t="str">
        <x:v>All</x:v>
      </x:c>
      <x:c r="C32" s="27" t="str">
        <x:v>Project Demo</x:v>
      </x:c>
      <x:c r="D32" s="27" t="str">
        <x:v>Project demo mẫu 1</x:v>
      </x:c>
      <x:c r="E32" s="27" t="str">
        <x:v>VI+EN</x:v>
      </x:c>
      <x:c r="F32" s="27" t="str">
        <x:v>Pending</x:v>
      </x:c>
      <x:c r="G32" s="27" t="str">
        <x:v>Pending</x:v>
      </x:c>
      <x:c r="H32" s="27" t="str">
        <x:v>Pending</x:v>
      </x:c>
      <x:c r="I32" s="27" t="str">
        <x:v>Pending</x:v>
      </x:c>
      <x:c r="J32" s="27" t="str">
        <x:v>Draft</x:v>
      </x:c>
    </x:row>
    <x:row r="33">
      <x:c r="A33" s="27" t="str">
        <x:v>P002</x:v>
      </x:c>
      <x:c r="B33" s="27" t="str">
        <x:v>All</x:v>
      </x:c>
      <x:c r="C33" s="27" t="str">
        <x:v>Project Demo</x:v>
      </x:c>
      <x:c r="D33" s="27" t="str">
        <x:v>Project demo mẫu 2</x:v>
      </x:c>
      <x:c r="E33" s="27" t="str">
        <x:v>VI+EN</x:v>
      </x:c>
      <x:c r="F33" s="27" t="str">
        <x:v>Pending</x:v>
      </x:c>
      <x:c r="G33" s="27" t="str">
        <x:v>Pending</x:v>
      </x:c>
      <x:c r="H33" s="27" t="str">
        <x:v>Pending</x:v>
      </x:c>
      <x:c r="I33" s="27" t="str">
        <x:v>Pending</x:v>
      </x:c>
      <x:c r="J33" s="27" t="str">
        <x:v>Draft</x:v>
      </x:c>
    </x:row>
    <x:row r="34">
      <x:c r="A34" s="27" t="str">
        <x:v>P003</x:v>
      </x:c>
      <x:c r="B34" s="27" t="str">
        <x:v>All</x:v>
      </x:c>
      <x:c r="C34" s="27" t="str">
        <x:v>Project Demo</x:v>
      </x:c>
      <x:c r="D34" s="27" t="str">
        <x:v>Project demo mẫu 3</x:v>
      </x:c>
      <x:c r="E34" s="27" t="str">
        <x:v>VI+EN</x:v>
      </x:c>
      <x:c r="F34" s="27" t="str">
        <x:v>Pending</x:v>
      </x:c>
      <x:c r="G34" s="27" t="str">
        <x:v>Pending</x:v>
      </x:c>
      <x:c r="H34" s="27" t="str">
        <x:v>Pending</x:v>
      </x:c>
      <x:c r="I34" s="27" t="str">
        <x:v>Pending</x:v>
      </x:c>
      <x:c r="J34" s="27" t="str">
        <x:v>Draft</x:v>
      </x:c>
    </x:row>
    <x:row r="35">
      <x:c r="A35" s="27" t="str">
        <x:v>P004</x:v>
      </x:c>
      <x:c r="B35" s="27" t="str">
        <x:v>All</x:v>
      </x:c>
      <x:c r="C35" s="27" t="str">
        <x:v>Project Demo</x:v>
      </x:c>
      <x:c r="D35" s="27" t="str">
        <x:v>Project demo mẫu 4</x:v>
      </x:c>
      <x:c r="E35" s="27" t="str">
        <x:v>VI+EN</x:v>
      </x:c>
      <x:c r="F35" s="27" t="str">
        <x:v>Pending</x:v>
      </x:c>
      <x:c r="G35" s="27" t="str">
        <x:v>Pending</x:v>
      </x:c>
      <x:c r="H35" s="27" t="str">
        <x:v>Pending</x:v>
      </x:c>
      <x:c r="I35" s="27" t="str">
        <x:v>Pending</x:v>
      </x:c>
      <x:c r="J35" s="27" t="str">
        <x:v>Draft</x:v>
      </x:c>
    </x:row>
    <x:row r="36">
      <x:c r="A36" s="27" t="str">
        <x:v>P005</x:v>
      </x:c>
      <x:c r="B36" s="27" t="str">
        <x:v>All</x:v>
      </x:c>
      <x:c r="C36" s="27" t="str">
        <x:v>Project Demo</x:v>
      </x:c>
      <x:c r="D36" s="27" t="str">
        <x:v>Project demo mẫu 5</x:v>
      </x:c>
      <x:c r="E36" s="27" t="str">
        <x:v>VI+EN</x:v>
      </x:c>
      <x:c r="F36" s="27" t="str">
        <x:v>Pending</x:v>
      </x:c>
      <x:c r="G36" s="27" t="str">
        <x:v>Pending</x:v>
      </x:c>
      <x:c r="H36" s="27" t="str">
        <x:v>Pending</x:v>
      </x:c>
      <x:c r="I36" s="27" t="str">
        <x:v>Pending</x:v>
      </x:c>
      <x:c r="J36" s="27" t="str">
        <x:v>Draft</x:v>
      </x:c>
    </x:row>
    <x:row r="37">
      <x:c r="A37" s="27" t="str">
        <x:v>P006</x:v>
      </x:c>
      <x:c r="B37" s="27" t="str">
        <x:v>All</x:v>
      </x:c>
      <x:c r="C37" s="27" t="str">
        <x:v>Project Demo</x:v>
      </x:c>
      <x:c r="D37" s="27" t="str">
        <x:v>Project demo mẫu 6</x:v>
      </x:c>
      <x:c r="E37" s="27" t="str">
        <x:v>VI+EN</x:v>
      </x:c>
      <x:c r="F37" s="27" t="str">
        <x:v>Pending</x:v>
      </x:c>
      <x:c r="G37" s="27" t="str">
        <x:v>Pending</x:v>
      </x:c>
      <x:c r="H37" s="27" t="str">
        <x:v>Pending</x:v>
      </x:c>
      <x:c r="I37" s="27" t="str">
        <x:v>Pending</x:v>
      </x:c>
      <x:c r="J37" s="27" t="str">
        <x:v>Draft</x:v>
      </x:c>
    </x:row>
    <x:row r="38">
      <x:c r="A38" s="27" t="str">
        <x:v>P007</x:v>
      </x:c>
      <x:c r="B38" s="27" t="str">
        <x:v>All</x:v>
      </x:c>
      <x:c r="C38" s="27" t="str">
        <x:v>Project Demo</x:v>
      </x:c>
      <x:c r="D38" s="27" t="str">
        <x:v>Project demo mẫu 7</x:v>
      </x:c>
      <x:c r="E38" s="27" t="str">
        <x:v>VI+EN</x:v>
      </x:c>
      <x:c r="F38" s="27" t="str">
        <x:v>Pending</x:v>
      </x:c>
      <x:c r="G38" s="27" t="str">
        <x:v>Pending</x:v>
      </x:c>
      <x:c r="H38" s="27" t="str">
        <x:v>Pending</x:v>
      </x:c>
      <x:c r="I38" s="27" t="str">
        <x:v>Pending</x:v>
      </x:c>
      <x:c r="J38" s="27" t="str">
        <x:v>Draft</x:v>
      </x:c>
    </x:row>
    <x:row r="39">
      <x:c r="A39" s="27" t="str">
        <x:v>P008</x:v>
      </x:c>
      <x:c r="B39" s="27" t="str">
        <x:v>All</x:v>
      </x:c>
      <x:c r="C39" s="27" t="str">
        <x:v>Project Demo</x:v>
      </x:c>
      <x:c r="D39" s="27" t="str">
        <x:v>Project demo mẫu 8</x:v>
      </x:c>
      <x:c r="E39" s="27" t="str">
        <x:v>VI+EN</x:v>
      </x:c>
      <x:c r="F39" s="27" t="str">
        <x:v>Pending</x:v>
      </x:c>
      <x:c r="G39" s="27" t="str">
        <x:v>Pending</x:v>
      </x:c>
      <x:c r="H39" s="27" t="str">
        <x:v>Pending</x:v>
      </x:c>
      <x:c r="I39" s="27" t="str">
        <x:v>Pending</x:v>
      </x:c>
      <x:c r="J39" s="27" t="str">
        <x:v>Draft</x:v>
      </x:c>
    </x:row>
    <x:row r="40">
      <x:c r="A40" s="27" t="str">
        <x:v>P009</x:v>
      </x:c>
      <x:c r="B40" s="27" t="str">
        <x:v>All</x:v>
      </x:c>
      <x:c r="C40" s="27" t="str">
        <x:v>Project Demo</x:v>
      </x:c>
      <x:c r="D40" s="27" t="str">
        <x:v>Project demo mẫu 9</x:v>
      </x:c>
      <x:c r="E40" s="27" t="str">
        <x:v>VI+EN</x:v>
      </x:c>
      <x:c r="F40" s="27" t="str">
        <x:v>Pending</x:v>
      </x:c>
      <x:c r="G40" s="27" t="str">
        <x:v>Pending</x:v>
      </x:c>
      <x:c r="H40" s="27" t="str">
        <x:v>Pending</x:v>
      </x:c>
      <x:c r="I40" s="27" t="str">
        <x:v>Pending</x:v>
      </x:c>
      <x:c r="J40" s="27" t="str">
        <x:v>Draft</x:v>
      </x:c>
    </x:row>
    <x:row r="41">
      <x:c r="A41" s="27" t="str">
        <x:v>P010</x:v>
      </x:c>
      <x:c r="B41" s="27" t="str">
        <x:v>All</x:v>
      </x:c>
      <x:c r="C41" s="27" t="str">
        <x:v>Project Demo</x:v>
      </x:c>
      <x:c r="D41" s="27" t="str">
        <x:v>Project demo mẫu 10</x:v>
      </x:c>
      <x:c r="E41" s="27" t="str">
        <x:v>VI+EN</x:v>
      </x:c>
      <x:c r="F41" s="27" t="str">
        <x:v>Pending</x:v>
      </x:c>
      <x:c r="G41" s="27" t="str">
        <x:v>Pending</x:v>
      </x:c>
      <x:c r="H41" s="27" t="str">
        <x:v>Pending</x:v>
      </x:c>
      <x:c r="I41" s="27" t="str">
        <x:v>Pending</x:v>
      </x:c>
      <x:c r="J41" s="27" t="str">
        <x:v>Draft</x:v>
      </x:c>
    </x:row>
  </x:sheetData>
  <x:dataValidations count="5">
    <x:dataValidation type="list" sqref="F2:F41">
      <x:formula1>"Pending,PASS,FAIL,N/A"</x:formula1>
    </x:dataValidation>
    <x:dataValidation type="list" sqref="G2:G41">
      <x:formula1>"Pending,PASS,FAIL,N/A"</x:formula1>
    </x:dataValidation>
    <x:dataValidation type="list" sqref="H2:H41">
      <x:formula1>"Pending,PASS,FAIL,N/A"</x:formula1>
    </x:dataValidation>
    <x:dataValidation type="list" sqref="I2:I41">
      <x:formula1>"Pending,PASS,FAIL,N/A"</x:formula1>
    </x:dataValidation>
    <x:dataValidation type="list" sqref="J2:J41">
      <x:formula1>"Draft,In Review,Approved,Published,Rejected"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79cfa8132e4c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</x:cols>
  <x:sheetData>
    <x:row r="1">
      <x:c r="A1" s="5" t="str">
        <x:v>MÔ HÌNH DOANH THU THAM CHIẾU - KHÔNG PHẢI CAM KẾT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9" t="str">
        <x:v>Kịch bản</x:v>
      </x:c>
      <x:c r="B4" s="19" t="str">
        <x:v>Family Users</x:v>
      </x:c>
      <x:c r="C4" s="19" t="str">
        <x:v>Family Price</x:v>
      </x:c>
      <x:c r="D4" s="19" t="str">
        <x:v>Creator Users</x:v>
      </x:c>
      <x:c r="E4" s="19" t="str">
        <x:v>Creator Price</x:v>
      </x:c>
      <x:c r="F4" s="19" t="str">
        <x:v>Cohort Seats</x:v>
      </x:c>
      <x:c r="G4" s="19" t="str">
        <x:v>Cohort Price</x:v>
      </x:c>
      <x:c r="H4" s="19" t="str">
        <x:v>School/Market</x:v>
      </x:c>
      <x:c r="I4" s="19" t="str">
        <x:v>Tổng doanh thu</x:v>
      </x:c>
      <x:c r="J4" s="19" t="str">
        <x:v>Ghi chú</x:v>
      </x:c>
    </x:row>
    <x:row r="5">
      <x:c r="A5" s="26" t="str">
        <x:v>Khoảng 100 triệu</x:v>
      </x:c>
      <x:c r="B5" s="26" t="n">
        <x:v>200</x:v>
      </x:c>
      <x:c r="C5" s="60" t="n">
        <x:v>199000</x:v>
      </x:c>
      <x:c r="D5" s="26" t="n">
        <x:v>60</x:v>
      </x:c>
      <x:c r="E5" s="60" t="n">
        <x:v>499000</x:v>
      </x:c>
      <x:c r="F5" s="26" t="n">
        <x:v>15</x:v>
      </x:c>
      <x:c r="G5" s="60" t="n">
        <x:v>1990000</x:v>
      </x:c>
      <x:c r="H5" s="60" t="n">
        <x:v>0</x:v>
      </x:c>
      <x:c r="I5" s="60" t="n">
        <x:f>B5*C5+D5*E5+F5*G5+H5</x:f>
        <x:v>99590000</x:v>
      </x:c>
      <x:c r="J5" s="26" t="str">
        <x:v>Gross revenue; chưa trừ chi phí</x:v>
      </x:c>
    </x:row>
    <x:row r="6">
      <x:c r="A6" s="26" t="str">
        <x:v>Khoảng 150 triệu</x:v>
      </x:c>
      <x:c r="B6" s="26" t="n">
        <x:v>250</x:v>
      </x:c>
      <x:c r="C6" s="60" t="n">
        <x:v>199000</x:v>
      </x:c>
      <x:c r="D6" s="26" t="n">
        <x:v>100</x:v>
      </x:c>
      <x:c r="E6" s="60" t="n">
        <x:v>499000</x:v>
      </x:c>
      <x:c r="F6" s="26" t="n">
        <x:v>25</x:v>
      </x:c>
      <x:c r="G6" s="60" t="n">
        <x:v>1990000</x:v>
      </x:c>
      <x:c r="H6" s="60" t="n">
        <x:v>0</x:v>
      </x:c>
      <x:c r="I6" s="60" t="n">
        <x:f>B6*C6+D6*E6+F6*G6+H6</x:f>
        <x:v>149400000</x:v>
      </x:c>
      <x:c r="J6" s="26" t="str">
        <x:v>Gross revenue; chưa trừ chi phí</x:v>
      </x:c>
    </x:row>
    <x:row r="7">
      <x:c r="A7" s="26" t="str">
        <x:v>Khoảng 200 triệu</x:v>
      </x:c>
      <x:c r="B7" s="26" t="n">
        <x:v>300</x:v>
      </x:c>
      <x:c r="C7" s="60" t="n">
        <x:v>199000</x:v>
      </x:c>
      <x:c r="D7" s="26" t="n">
        <x:v>120</x:v>
      </x:c>
      <x:c r="E7" s="60" t="n">
        <x:v>499000</x:v>
      </x:c>
      <x:c r="F7" s="26" t="n">
        <x:v>30</x:v>
      </x:c>
      <x:c r="G7" s="60" t="n">
        <x:v>1990000</x:v>
      </x:c>
      <x:c r="H7" s="60" t="n">
        <x:v>20000000</x:v>
      </x:c>
      <x:c r="I7" s="60" t="n">
        <x:f>B7*C7+D7*E7+F7*G7+H7</x:f>
        <x:v>199280000</x:v>
      </x:c>
      <x:c r="J7" s="26" t="str">
        <x:v>Gross revenue; chưa trừ chi phí</x:v>
      </x:c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</x:row>
    <x:row r="10">
      <x:c r="A10" s="19" t="str">
        <x:v>Chi phí cần mô hình hóa</x:v>
      </x:c>
      <x:c r="B10" s="19" t="str">
        <x:v>Khoảng tham chiếu</x:v>
      </x:c>
      <x:c r="C10" s="26"/>
      <x:c r="D10" s="26"/>
      <x:c r="E10" s="26"/>
      <x:c r="F10" s="26"/>
      <x:c r="G10" s="26"/>
      <x:c r="H10" s="26"/>
      <x:c r="I10" s="26"/>
      <x:c r="J10" s="26"/>
    </x:row>
    <x:row r="11">
      <x:c r="A11" s="27" t="str">
        <x:v>AI/API</x:v>
      </x:c>
      <x:c r="B11" s="27" t="str">
        <x:v>Theo usage + quota</x:v>
      </x:c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27" t="str">
        <x:v>Cloud/sandbox/storage</x:v>
      </x:c>
      <x:c r="B12" s="27" t="str">
        <x:v>Theo active users và execution</x:v>
      </x:c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27" t="str">
        <x:v>Mentor/reviewer</x:v>
      </x:c>
      <x:c r="B13" s="27" t="str">
        <x:v>Theo giờ và số submission</x:v>
      </x:c>
      <x:c r="C13" s="26"/>
      <x:c r="D13" s="26"/>
      <x:c r="E13" s="26"/>
      <x:c r="F13" s="26"/>
      <x:c r="G13" s="26"/>
      <x:c r="H13" s="26"/>
      <x:c r="I13" s="26"/>
      <x:c r="J13" s="26"/>
    </x:row>
    <x:row r="14">
      <x:c r="A14" s="27" t="str">
        <x:v>Payment/refund</x:v>
      </x:c>
      <x:c r="B14" s="27" t="str">
        <x:v>Theo doanh thu/giao dịch</x:v>
      </x:c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27" t="str">
        <x:v>Marketing/CAC</x:v>
      </x:c>
      <x:c r="B15" s="27" t="str">
        <x:v>Theo kênh</x:v>
      </x:c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27" t="str">
        <x:v>Support/operations</x:v>
      </x:c>
      <x:c r="B16" s="27" t="str">
        <x:v>Theo SLA</x:v>
      </x:c>
      <x:c r="C16" s="26"/>
      <x:c r="D16" s="26"/>
      <x:c r="E16" s="26"/>
      <x:c r="F16" s="26"/>
      <x:c r="G16" s="26"/>
      <x:c r="H16" s="26"/>
      <x:c r="I16" s="26"/>
      <x:c r="J16" s="26"/>
    </x:row>
    <x:row r="17">
      <x:c r="A17" s="27" t="str">
        <x:v>Legal/security/privacy</x:v>
      </x:c>
      <x:c r="B17" s="27" t="str">
        <x:v>Theo thị trường</x:v>
      </x:c>
      <x:c r="C17" s="26"/>
      <x:c r="D17" s="26"/>
      <x:c r="E17" s="26"/>
      <x:c r="F17" s="26"/>
      <x:c r="G17" s="26"/>
      <x:c r="H17" s="26"/>
      <x:c r="I17" s="26"/>
      <x:c r="J17" s="26"/>
    </x:row>
    <x:row r="18">
      <x:c r="A18" s="27" t="str">
        <x:v>Thuế/kế toán</x:v>
      </x:c>
      <x:c r="B18" s="27" t="str">
        <x:v>Theo pháp nhân</x:v>
      </x:c>
      <x:c r="C18" s="26"/>
      <x:c r="D18" s="26"/>
      <x:c r="E18" s="26"/>
      <x:c r="F18" s="26"/>
      <x:c r="G18" s="26"/>
      <x:c r="H18" s="26"/>
      <x:c r="I18" s="26"/>
      <x:c r="J18" s="26"/>
    </x:row>
  </x:sheetData>
  <x:mergeCells>
    <x:mergeCell ref="A1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19" t="str">
        <x:v>Workstream</x:v>
      </x:c>
      <x:c r="B1" s="19" t="str">
        <x:v>Accountable</x:v>
      </x:c>
      <x:c r="C1" s="19" t="str">
        <x:v>Responsible</x:v>
      </x:c>
      <x:c r="D1" s="19" t="str">
        <x:v>Consulted</x:v>
      </x:c>
      <x:c r="E1" s="19" t="str">
        <x:v>Informed</x:v>
      </x:c>
    </x:row>
    <x:row r="2">
      <x:c r="A2" s="27" t="str">
        <x:v>Founder Lock/Brand</x:v>
      </x:c>
      <x:c r="B2" s="27" t="str">
        <x:v>Founder</x:v>
      </x:c>
      <x:c r="C2" s="27" t="str">
        <x:v>Product Lead</x:v>
      </x:c>
      <x:c r="D2" s="27" t="str">
        <x:v>Brand/Legal</x:v>
      </x:c>
      <x:c r="E2" s="27" t="str">
        <x:v>All leads</x:v>
      </x:c>
    </x:row>
    <x:row r="3">
      <x:c r="A3" s="27" t="str">
        <x:v>Product</x:v>
      </x:c>
      <x:c r="B3" s="27" t="str">
        <x:v>Product Lead</x:v>
      </x:c>
      <x:c r="C3" s="27" t="str">
        <x:v>UX/Engineering</x:v>
      </x:c>
      <x:c r="D3" s="27" t="str">
        <x:v>Curriculum/Growth</x:v>
      </x:c>
      <x:c r="E3" s="27" t="str">
        <x:v>Founder</x:v>
      </x:c>
    </x:row>
    <x:row r="4">
      <x:c r="A4" s="27" t="str">
        <x:v>Curriculum</x:v>
      </x:c>
      <x:c r="B4" s="27" t="str">
        <x:v>Curriculum Lead</x:v>
      </x:c>
      <x:c r="C4" s="27" t="str">
        <x:v>Authors/Reviewers</x:v>
      </x:c>
      <x:c r="D4" s="27" t="str">
        <x:v>Teachers/AI Lead</x:v>
      </x:c>
      <x:c r="E4" s="27" t="str">
        <x:v>Product</x:v>
      </x:c>
    </x:row>
    <x:row r="5">
      <x:c r="A5" s="27" t="str">
        <x:v>Engineering</x:v>
      </x:c>
      <x:c r="B5" s="27" t="str">
        <x:v>Technical Lead</x:v>
      </x:c>
      <x:c r="C5" s="27" t="str">
        <x:v>Dev Team</x:v>
      </x:c>
      <x:c r="D5" s="27" t="str">
        <x:v>Security/Product</x:v>
      </x:c>
      <x:c r="E5" s="27" t="str">
        <x:v>Release</x:v>
      </x:c>
    </x:row>
    <x:row r="6">
      <x:c r="A6" s="27" t="str">
        <x:v>AI</x:v>
      </x:c>
      <x:c r="B6" s="27" t="str">
        <x:v>AI Lead</x:v>
      </x:c>
      <x:c r="C6" s="27" t="str">
        <x:v>AI Engineers</x:v>
      </x:c>
      <x:c r="D6" s="27" t="str">
        <x:v>Safety/Curriculum</x:v>
      </x:c>
      <x:c r="E6" s="27" t="str">
        <x:v>Founder/Product</x:v>
      </x:c>
    </x:row>
    <x:row r="7">
      <x:c r="A7" s="27" t="str">
        <x:v>Child Safety</x:v>
      </x:c>
      <x:c r="B7" s="27" t="str">
        <x:v>Safety Officer</x:v>
      </x:c>
      <x:c r="C7" s="27" t="str">
        <x:v>Trust/Engineering</x:v>
      </x:c>
      <x:c r="D7" s="27" t="str">
        <x:v>Legal/Founder</x:v>
      </x:c>
      <x:c r="E7" s="27" t="str">
        <x:v>All staff</x:v>
      </x:c>
    </x:row>
    <x:row r="8">
      <x:c r="A8" s="27" t="str">
        <x:v>Privacy/Legal</x:v>
      </x:c>
      <x:c r="B8" s="27" t="str">
        <x:v>Company/Legal Owner</x:v>
      </x:c>
      <x:c r="C8" s="27" t="str">
        <x:v>Compliance</x:v>
      </x:c>
      <x:c r="D8" s="27" t="str">
        <x:v>Security/Product</x:v>
      </x:c>
      <x:c r="E8" s="27" t="str">
        <x:v>Release</x:v>
      </x:c>
    </x:row>
    <x:row r="9">
      <x:c r="A9" s="27" t="str">
        <x:v>Security</x:v>
      </x:c>
      <x:c r="B9" s="27" t="str">
        <x:v>Security Lead</x:v>
      </x:c>
      <x:c r="C9" s="27" t="str">
        <x:v>Engineering/SRE</x:v>
      </x:c>
      <x:c r="D9" s="27" t="str">
        <x:v>External tester</x:v>
      </x:c>
      <x:c r="E9" s="27" t="str">
        <x:v>Founder</x:v>
      </x:c>
    </x:row>
    <x:row r="10">
      <x:c r="A10" s="27" t="str">
        <x:v>Revenue</x:v>
      </x:c>
      <x:c r="B10" s="27" t="str">
        <x:v>CEO/Finance</x:v>
      </x:c>
      <x:c r="C10" s="27" t="str">
        <x:v>Product/Finance</x:v>
      </x:c>
      <x:c r="D10" s="27" t="str">
        <x:v>Legal/Growth</x:v>
      </x:c>
      <x:c r="E10" s="27" t="str">
        <x:v>Founder</x:v>
      </x:c>
    </x:row>
    <x:row r="11">
      <x:c r="A11" s="27" t="str">
        <x:v>Release</x:v>
      </x:c>
      <x:c r="B11" s="27" t="str">
        <x:v>Release Manager</x:v>
      </x:c>
      <x:c r="C11" s="27" t="str">
        <x:v>Dev/QA/SRE</x:v>
      </x:c>
      <x:c r="D11" s="27" t="str">
        <x:v>All owners</x:v>
      </x:c>
      <x:c r="E11" s="27" t="str">
        <x:v>Stakeholders</x:v>
      </x:c>
    </x:row>
  </x:sheetData>
  <x:pageMargins left="0.7" right="0.7" top="0.75" bottom="0.75" header="0.3" footer="0.3"/>
  <x:tableParts count="1">
    <x:tablePart xmlns:r="http://schemas.openxmlformats.org/officeDocument/2006/relationships" r:id="R14a50fc5a2b9491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5" hidden="0" customWidth="1"/>
  </x:cols>
  <x:sheetData>
    <x:row r="1">
      <x:c r="A1" s="19" t="str">
        <x:v>No.</x:v>
      </x:c>
      <x:c r="B1" s="19" t="str">
        <x:v>Source</x:v>
      </x:c>
      <x:c r="C1" s="19" t="str">
        <x:v>Use</x:v>
      </x:c>
      <x:c r="D1" s="19" t="str">
        <x:v>URL</x:v>
      </x:c>
    </x:row>
    <x:row r="2">
      <x:c r="A2" s="27" t="n">
        <x:v>1</x:v>
      </x:c>
      <x:c r="B2" s="27" t="str">
        <x:v>Luật 91/2025/QH15 - Luật Bảo vệ dữ liệu cá nhân</x:v>
      </x:c>
      <x:c r="C2" s="27" t="str">
        <x:v>Vietnam privacy baseline</x:v>
      </x:c>
      <x:c r="D2" s="27" t="str">
        <x:v>https://vanban.chinhphu.vn/?classid=1&amp;docid=214590&amp;pageid=27160&amp;typegroupid=3</x:v>
      </x:c>
    </x:row>
    <x:row r="3">
      <x:c r="A3" s="27" t="n">
        <x:v>2</x:v>
      </x:c>
      <x:c r="B3" s="27" t="str">
        <x:v>FTC - COPPA Rule</x:v>
      </x:c>
      <x:c r="C3" s="27" t="str">
        <x:v>US child privacy</x:v>
      </x:c>
      <x:c r="D3" s="27" t="str">
        <x:v>https://www.ftc.gov/legal-library/browse/rules/childrens-online-privacy-protection-rule-coppa</x:v>
      </x:c>
    </x:row>
    <x:row r="4">
      <x:c r="A4" s="27" t="n">
        <x:v>3</x:v>
      </x:c>
      <x:c r="B4" s="27" t="str">
        <x:v>FTC - Children's Privacy Guidance</x:v>
      </x:c>
      <x:c r="C4" s="27" t="str">
        <x:v>Compliance guidance</x:v>
      </x:c>
      <x:c r="D4" s="27" t="str">
        <x:v>https://www.ftc.gov/business-guidance/privacy-security/childrens-privacy</x:v>
      </x:c>
    </x:row>
    <x:row r="5">
      <x:c r="A5" s="27" t="n">
        <x:v>4</x:v>
      </x:c>
      <x:c r="B5" s="27" t="str">
        <x:v>UNESCO - GenAI in Education</x:v>
      </x:c>
      <x:c r="C5" s="27" t="str">
        <x:v>Age-appropriate AI and education governance</x:v>
      </x:c>
      <x:c r="D5" s="27" t="str">
        <x:v>https://www.unesco.org/en/articles/guidance-generative-ai-education-and-research</x:v>
      </x:c>
    </x:row>
    <x:row r="6">
      <x:c r="A6" s="27" t="n">
        <x:v>5</x:v>
      </x:c>
      <x:c r="B6" s="27" t="str">
        <x:v>W3C - WCAG 2.2</x:v>
      </x:c>
      <x:c r="C6" s="27" t="str">
        <x:v>Accessibility target</x:v>
      </x:c>
      <x:c r="D6" s="27" t="str">
        <x:v>https://www.w3.org/TR/WCAG22/</x:v>
      </x:c>
    </x:row>
    <x:row r="7">
      <x:c r="A7" s="27" t="n">
        <x:v>6</x:v>
      </x:c>
      <x:c r="B7" s="27" t="str">
        <x:v>OWASP ASVS</x:v>
      </x:c>
      <x:c r="C7" s="27" t="str">
        <x:v>Application security verification</x:v>
      </x:c>
      <x:c r="D7" s="27" t="str">
        <x:v>https://owasp.org/www-project-application-security-verification-standard/</x:v>
      </x:c>
    </x:row>
    <x:row r="8">
      <x:c r="A8" s="27" t="n">
        <x:v>7</x:v>
      </x:c>
      <x:c r="B8" s="27" t="str">
        <x:v>WIPO Global Brand Database</x:v>
      </x:c>
      <x:c r="C8" s="27" t="str">
        <x:v>Trademark search baseline</x:v>
      </x:c>
      <x:c r="D8" s="27" t="str">
        <x:v>https://www.wipo.int/en/web/global-brand-database</x:v>
      </x:c>
    </x:row>
  </x:sheetData>
  <x:pageMargins left="0.7" right="0.7" top="0.75" bottom="0.75" header="0.3" footer="0.3"/>
  <x:tableParts count="1">
    <x:tablePart xmlns:r="http://schemas.openxmlformats.org/officeDocument/2006/relationships" r:id="R6cb2f9f213a74bb3"/>
  </x:tableParts>
</x:worksheet>
</file>